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rushiseth/Downloads/"/>
    </mc:Choice>
  </mc:AlternateContent>
  <xr:revisionPtr revIDLastSave="0" documentId="8_{E69BCABF-A79D-1349-8EE2-3AA3CEB79B5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shboard" sheetId="1" r:id="rId1"/>
    <sheet name="Revenue, Gross Profit &amp; Income" sheetId="2" r:id="rId2"/>
    <sheet name="Product Segment - Apple Revenue" sheetId="3" r:id="rId3"/>
    <sheet name="Region - Apple Revenue" sheetId="4" r:id="rId4"/>
    <sheet name="KIP card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E3" i="5"/>
  <c r="B3" i="5"/>
  <c r="C23" i="2"/>
  <c r="B23" i="2"/>
  <c r="C22" i="2"/>
  <c r="B22" i="2"/>
  <c r="H3" i="5" s="1"/>
  <c r="C21" i="2"/>
  <c r="B21" i="2"/>
  <c r="C20" i="2"/>
  <c r="B20" i="2"/>
  <c r="C19" i="2"/>
  <c r="B19" i="2"/>
  <c r="C18" i="2"/>
  <c r="B18" i="2"/>
  <c r="K5" i="1"/>
  <c r="H5" i="1"/>
  <c r="E5" i="1"/>
  <c r="B5" i="1"/>
  <c r="F7" i="4"/>
  <c r="E7" i="4"/>
  <c r="D7" i="4"/>
  <c r="C7" i="4"/>
  <c r="B7" i="4"/>
</calcChain>
</file>

<file path=xl/sharedStrings.xml><?xml version="1.0" encoding="utf-8"?>
<sst xmlns="http://schemas.openxmlformats.org/spreadsheetml/2006/main" count="45" uniqueCount="38">
  <si>
    <t>Region</t>
  </si>
  <si>
    <t>FY2021</t>
  </si>
  <si>
    <t>FY2022</t>
  </si>
  <si>
    <t>FY2023</t>
  </si>
  <si>
    <t>FY2024</t>
  </si>
  <si>
    <t>FY2025</t>
  </si>
  <si>
    <t>Americas</t>
  </si>
  <si>
    <t>Europe</t>
  </si>
  <si>
    <t>Greater China</t>
  </si>
  <si>
    <t>Japan</t>
  </si>
  <si>
    <t>Rest of Asia Pacific</t>
  </si>
  <si>
    <t xml:space="preserve">Total </t>
  </si>
  <si>
    <t>Source: Apple Inc. Form 10-K filings, FY2021–2025</t>
  </si>
  <si>
    <t>Apple Inc. — Financial Performance Dashboard</t>
  </si>
  <si>
    <t>Fiscal Years 2021–2026 · Source: Apple Inc. Form 10-K filings</t>
  </si>
  <si>
    <t>Total Revenue (FY2025)</t>
  </si>
  <si>
    <t>Revenue Growth (FY25 vs FY24)</t>
  </si>
  <si>
    <t>Gross Margin (FY2025)</t>
  </si>
  <si>
    <t>Top Segment (FY2025)</t>
  </si>
  <si>
    <t>Source: Apple Inc. Form 10-K filings, FY2021–2025 | Prepared by Arushi Seth</t>
  </si>
  <si>
    <t>Year</t>
  </si>
  <si>
    <t xml:space="preserve">Revenue </t>
  </si>
  <si>
    <t>Gross Profit</t>
  </si>
  <si>
    <t>Operating Income</t>
  </si>
  <si>
    <t>Gross Margin</t>
  </si>
  <si>
    <t xml:space="preserve">Operating Margin </t>
  </si>
  <si>
    <t xml:space="preserve">Segment </t>
  </si>
  <si>
    <t>FY 2021</t>
  </si>
  <si>
    <t>FY 2022</t>
  </si>
  <si>
    <t>FY 2023</t>
  </si>
  <si>
    <t>FY 2024</t>
  </si>
  <si>
    <t>FY 2025</t>
  </si>
  <si>
    <t>iPhone</t>
  </si>
  <si>
    <t>iPad</t>
  </si>
  <si>
    <t>Wearables/Home/Accessories</t>
  </si>
  <si>
    <t>Services</t>
  </si>
  <si>
    <t>Apple Inc. — Key Performance Indicators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</si>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</sst>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_(&quot;$&quot;* #,##0.000_);_(&quot;$&quot;* \(#,##0.000\);_(&quot;$&quot;* &quot;-&quot;??_);_(@_)"/>
    <numFmt numFmtId="166" formatCode="0.0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595959"/>
      <name val="Calibri"/>
      <family val="2"/>
    </font>
    <font>
      <b/>
      <sz val="28"/>
      <color rgb="FF1F3864"/>
      <name val="Calibri"/>
      <family val="2"/>
    </font>
    <font>
      <b/>
      <sz val="14"/>
      <color rgb="FF1F3864"/>
      <name val="Calibri"/>
      <family val="2"/>
    </font>
    <font>
      <b/>
      <sz val="20"/>
      <color rgb="FF1F3864"/>
      <name val="Calibri"/>
      <family val="2"/>
    </font>
    <font>
      <i/>
      <sz val="10"/>
      <color rgb="FF808080"/>
      <name val="Calibri"/>
      <family val="2"/>
    </font>
    <font>
      <b/>
      <sz val="26"/>
      <color rgb="FF1F3864"/>
      <name val="Calibri"/>
      <family val="2"/>
    </font>
    <font>
      <i/>
      <sz val="9"/>
      <color rgb="FFA6A6A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21">
    <xf numFmtId="0" fontId="0" fillId="0" borderId="0" xfId="0"/>
    <xf numFmtId="164" fontId="0" fillId="0" borderId="0" xfId="2" applyNumberFormat="1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10" fontId="0" fillId="0" borderId="0" xfId="2" applyNumberFormat="1" applyFont="1"/>
    <xf numFmtId="0" fontId="2" fillId="0" borderId="0" xfId="0" applyFont="1"/>
    <xf numFmtId="166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Revenue, Gross Profit &amp; Operating Income  (FY2021-2026)</a:t>
            </a:r>
            <a:endParaRPr lang="en-US"/>
          </a:p>
        </c:rich>
      </c:tx>
      <c:layout>
        <c:manualLayout>
          <c:xMode val="edge"/>
          <c:yMode val="edge"/>
          <c:x val="0.117652668416448"/>
          <c:y val="4.629629629629628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'Revenue, Gross Profit &amp; Income'!$B$1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'Revenue, Gross Profit &amp; Income'!$A$2:$A$7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Income'!$B$2:$B$7</c:f>
              <c:numCache>
                <c:formatCode>_("$"* #,##0.000_);_("$"* \(#,##0.000\);_("$"* "-"??_);_(@_)</c:formatCode>
                <c:ptCount val="6"/>
                <c:pt idx="0">
                  <c:v>365.81700000000001</c:v>
                </c:pt>
                <c:pt idx="1">
                  <c:v>394.32799999999997</c:v>
                </c:pt>
                <c:pt idx="2">
                  <c:v>383.28500000000003</c:v>
                </c:pt>
                <c:pt idx="3">
                  <c:v>391.03500000000003</c:v>
                </c:pt>
                <c:pt idx="4">
                  <c:v>416.161</c:v>
                </c:pt>
                <c:pt idx="5">
                  <c:v>451.44200000000001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6-ED43-B3B7-F18C7DD82438}"/>
            </c:ext>
          </c:extLst>
        </c:ser>
        <c:ser>
          <c:idx val="1"/>
          <c:order val="1"/>
          <c:tx>
            <c:strRef>
              <c:f>'Revenue, Gross Profit &amp; Income'!$C$1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'Revenue, Gross Profit &amp; Income'!$A$2:$A$7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Income'!$C$2:$C$7</c:f>
              <c:numCache>
                <c:formatCode>_("$"* #,##0.000_);_("$"* \(#,##0.000\);_("$"* "-"??_);_(@_)</c:formatCode>
                <c:ptCount val="6"/>
                <c:pt idx="0">
                  <c:v>152.83600000000001</c:v>
                </c:pt>
                <c:pt idx="1">
                  <c:v>170.78200000000001</c:v>
                </c:pt>
                <c:pt idx="2">
                  <c:v>169.148</c:v>
                </c:pt>
                <c:pt idx="3">
                  <c:v>180.68299999999999</c:v>
                </c:pt>
                <c:pt idx="4">
                  <c:v>195.20099999999999</c:v>
                </c:pt>
                <c:pt idx="5">
                  <c:v>216.071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6-ED43-B3B7-F18C7DD82438}"/>
            </c:ext>
          </c:extLst>
        </c:ser>
        <c:ser>
          <c:idx val="2"/>
          <c:order val="2"/>
          <c:tx>
            <c:strRef>
              <c:f>'Revenue, Gross Profit &amp; Income'!$D$1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'Revenue, Gross Profit &amp; Income'!$A$2:$A$7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Income'!$D$2:$D$7</c:f>
              <c:numCache>
                <c:formatCode>_("$"* #,##0.000_);_("$"* \(#,##0.000\);_("$"* "-"??_);_(@_)</c:formatCode>
                <c:ptCount val="6"/>
                <c:pt idx="0">
                  <c:v>108.949</c:v>
                </c:pt>
                <c:pt idx="1">
                  <c:v>119.437</c:v>
                </c:pt>
                <c:pt idx="2">
                  <c:v>114.301</c:v>
                </c:pt>
                <c:pt idx="3">
                  <c:v>123.05</c:v>
                </c:pt>
                <c:pt idx="4">
                  <c:v>133.05000000000001</c:v>
                </c:pt>
                <c:pt idx="5">
                  <c:v>147.36600000000001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6-ED43-B3B7-F18C7DD82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50143"/>
        <c:axId val="41238527"/>
      </c:barChart>
      <c:catAx>
        <c:axId val="12355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527"/>
        <c:crossesAt val="0"/>
        <c:auto val="1"/>
        <c:lblAlgn val="ctr"/>
        <c:lblOffset val="100"/>
        <c:noMultiLvlLbl val="0"/>
      </c:catAx>
      <c:valAx>
        <c:axId val="412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in Billions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$&quot;* #,##0.000_);_(&quot;$&quot;* \(#,##0.0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014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 Gross Margin vs. Operating Margin  (FY2021–2026)</a:t>
            </a:r>
            <a:endParaRPr lang="en-US"/>
          </a:p>
        </c:rich>
      </c:tx>
      <c:layout>
        <c:manualLayout>
          <c:xMode val="edge"/>
          <c:yMode val="edge"/>
          <c:x val="0.14572320351847912"/>
          <c:y val="4.166656083312166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'Revenue, Gross Profit &amp; Income'!$B$17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AF-D243-81C0-72D668A368B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'Revenue, Gross Profit &amp; Income'!$A$18:$A$23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Income'!$B$18:$B$23</c:f>
              <c:numCache>
                <c:formatCode>0.00%</c:formatCode>
                <c:ptCount val="6"/>
                <c:pt idx="0">
                  <c:v>0.41779359625167778</c:v>
                </c:pt>
                <c:pt idx="1">
                  <c:v>0.43309630561360091</c:v>
                </c:pt>
                <c:pt idx="2">
                  <c:v>0.44131129577207556</c:v>
                </c:pt>
                <c:pt idx="3">
                  <c:v>0.46206349815233927</c:v>
                </c:pt>
                <c:pt idx="4">
                  <c:v>0.46905164107160446</c:v>
                </c:pt>
                <c:pt idx="5">
                  <c:v>0.47862405358827931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F-D243-81C0-72D668A368BD}"/>
            </c:ext>
          </c:extLst>
        </c:ser>
        <c:ser>
          <c:idx val="1"/>
          <c:order val="1"/>
          <c:tx>
            <c:strRef>
              <c:f>'Revenue, Gross Profit &amp; Income'!$C$17</c:f>
              <c:strCache>
                <c:ptCount val="1"/>
                <c:pt idx="0">
                  <c:v>Operating Margin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AF-D243-81C0-72D668A368B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'Revenue, Gross Profit &amp; Income'!$A$18:$A$23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Income'!$C$18:$C$23</c:f>
              <c:numCache>
                <c:formatCode>0.00%</c:formatCode>
                <c:ptCount val="6"/>
                <c:pt idx="0">
                  <c:v>0.29782377527561593</c:v>
                </c:pt>
                <c:pt idx="1">
                  <c:v>0.302887443955286</c:v>
                </c:pt>
                <c:pt idx="2">
                  <c:v>0.29821412265024722</c:v>
                </c:pt>
                <c:pt idx="3">
                  <c:v>0.31467771427110103</c:v>
                </c:pt>
                <c:pt idx="4">
                  <c:v>0.31970799762591884</c:v>
                </c:pt>
                <c:pt idx="5">
                  <c:v>0.32643396050876972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AF-D243-81C0-72D668A36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76255"/>
        <c:axId val="128374911"/>
      </c:lineChart>
      <c:catAx>
        <c:axId val="1283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4911"/>
        <c:crosses val="autoZero"/>
        <c:auto val="1"/>
        <c:lblAlgn val="ctr"/>
        <c:lblOffset val="100"/>
        <c:noMultiLvlLbl val="0"/>
      </c:catAx>
      <c:valAx>
        <c:axId val="1283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62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Revenue by Region (FY2021–2025)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- Apple Revenue'!$A$2</c:f>
              <c:strCache>
                <c:ptCount val="1"/>
                <c:pt idx="0">
                  <c:v>Americas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Revenue'!$B$2:$F$2</c:f>
              <c:numCache>
                <c:formatCode>_("$"* #,##0.000_);_("$"* \(#,##0.000\);_("$"* "-"??_);_(@_)</c:formatCode>
                <c:ptCount val="5"/>
                <c:pt idx="0">
                  <c:v>153.30600000000001</c:v>
                </c:pt>
                <c:pt idx="1">
                  <c:v>169.65799999999999</c:v>
                </c:pt>
                <c:pt idx="2">
                  <c:v>162.56</c:v>
                </c:pt>
                <c:pt idx="3">
                  <c:v>167.05</c:v>
                </c:pt>
                <c:pt idx="4">
                  <c:v>178.35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0-004F-8B95-D8B264782117}"/>
            </c:ext>
          </c:extLst>
        </c:ser>
        <c:ser>
          <c:idx val="1"/>
          <c:order val="1"/>
          <c:tx>
            <c:strRef>
              <c:f>'Region - Apple Revenue'!$A$3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Revenue'!$B$3:$F$3</c:f>
              <c:numCache>
                <c:formatCode>_("$"* #,##0.000_);_("$"* \(#,##0.000\);_("$"* "-"??_);_(@_)</c:formatCode>
                <c:ptCount val="5"/>
                <c:pt idx="0">
                  <c:v>89.307000000000002</c:v>
                </c:pt>
                <c:pt idx="1">
                  <c:v>95.117999999999995</c:v>
                </c:pt>
                <c:pt idx="2">
                  <c:v>94.293999999999997</c:v>
                </c:pt>
                <c:pt idx="3">
                  <c:v>101.3</c:v>
                </c:pt>
                <c:pt idx="4">
                  <c:v>111.03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0-004F-8B95-D8B264782117}"/>
            </c:ext>
          </c:extLst>
        </c:ser>
        <c:ser>
          <c:idx val="2"/>
          <c:order val="2"/>
          <c:tx>
            <c:strRef>
              <c:f>'Region - Apple Revenue'!$A$4</c:f>
              <c:strCache>
                <c:ptCount val="1"/>
                <c:pt idx="0">
                  <c:v>Greater China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Revenue'!$B$4:$F$4</c:f>
              <c:numCache>
                <c:formatCode>_("$"* #,##0.000_);_("$"* \(#,##0.000\);_("$"* "-"??_);_(@_)</c:formatCode>
                <c:ptCount val="5"/>
                <c:pt idx="0">
                  <c:v>68.366</c:v>
                </c:pt>
                <c:pt idx="1">
                  <c:v>74.2</c:v>
                </c:pt>
                <c:pt idx="2">
                  <c:v>72.558999999999997</c:v>
                </c:pt>
                <c:pt idx="3">
                  <c:v>66.95</c:v>
                </c:pt>
                <c:pt idx="4">
                  <c:v>64.38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0-004F-8B95-D8B264782117}"/>
            </c:ext>
          </c:extLst>
        </c:ser>
        <c:ser>
          <c:idx val="3"/>
          <c:order val="3"/>
          <c:tx>
            <c:strRef>
              <c:f>'Region - Apple Revenue'!$A$5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Revenue'!$B$5:$F$5</c:f>
              <c:numCache>
                <c:formatCode>_("$"* #,##0.000_);_("$"* \(#,##0.000\);_("$"* "-"??_);_(@_)</c:formatCode>
                <c:ptCount val="5"/>
                <c:pt idx="0">
                  <c:v>28.481999999999999</c:v>
                </c:pt>
                <c:pt idx="1">
                  <c:v>25.977</c:v>
                </c:pt>
                <c:pt idx="2">
                  <c:v>24.257000000000001</c:v>
                </c:pt>
                <c:pt idx="3">
                  <c:v>25.05</c:v>
                </c:pt>
                <c:pt idx="4">
                  <c:v>28.71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0-004F-8B95-D8B264782117}"/>
            </c:ext>
          </c:extLst>
        </c:ser>
        <c:ser>
          <c:idx val="4"/>
          <c:order val="4"/>
          <c:tx>
            <c:strRef>
              <c:f>'Region - Apple Revenue'!$A$6</c:f>
              <c:strCache>
                <c:ptCount val="1"/>
                <c:pt idx="0">
                  <c:v>Rest of Asia Pacific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Revenue'!$B$6:$F$6</c:f>
              <c:numCache>
                <c:formatCode>_("$"* #,##0.000_);_("$"* \(#,##0.000\);_("$"* "-"??_);_(@_)</c:formatCode>
                <c:ptCount val="5"/>
                <c:pt idx="0">
                  <c:v>26.356000000000002</c:v>
                </c:pt>
                <c:pt idx="1">
                  <c:v>29.375</c:v>
                </c:pt>
                <c:pt idx="2">
                  <c:v>29.614999999999998</c:v>
                </c:pt>
                <c:pt idx="3">
                  <c:v>30.66</c:v>
                </c:pt>
                <c:pt idx="4">
                  <c:v>33.71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10-004F-8B95-D8B26478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05695"/>
        <c:axId val="200395391"/>
      </c:barChart>
      <c:catAx>
        <c:axId val="2004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5391"/>
        <c:crosses val="autoZero"/>
        <c:auto val="1"/>
        <c:lblAlgn val="ctr"/>
        <c:lblOffset val="100"/>
        <c:noMultiLvlLbl val="0"/>
      </c:catAx>
      <c:valAx>
        <c:axId val="2003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in Billions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$&quot;* #,##0.000_);_(&quot;$&quot;* \(#,##0.0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569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 Revenue by Product Segment (FY2021–2025)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Segment - Apple Revenue'!$A$2</c:f>
              <c:strCache>
                <c:ptCount val="1"/>
                <c:pt idx="0">
                  <c:v>iPhone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Revenue'!$B$2:$F$2</c:f>
              <c:numCache>
                <c:formatCode>_("$"* #,##0.000_);_("$"* \(#,##0.000\);_("$"* "-"??_);_(@_)</c:formatCode>
                <c:ptCount val="5"/>
                <c:pt idx="0">
                  <c:v>191.97300000000001</c:v>
                </c:pt>
                <c:pt idx="1">
                  <c:v>205.48500000000001</c:v>
                </c:pt>
                <c:pt idx="2">
                  <c:v>200.583</c:v>
                </c:pt>
                <c:pt idx="3">
                  <c:v>201.18299999999999</c:v>
                </c:pt>
                <c:pt idx="4">
                  <c:v>209.59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4-E449-8734-DC366C36F28D}"/>
            </c:ext>
          </c:extLst>
        </c:ser>
        <c:ser>
          <c:idx val="1"/>
          <c:order val="1"/>
          <c:tx>
            <c:strRef>
              <c:f>'Product Segment - Apple Revenue'!$A$3</c:f>
              <c:strCache>
                <c:ptCount val="1"/>
                <c:pt idx="0">
                  <c:v>Mac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Revenue'!$B$3:$F$3</c:f>
              <c:numCache>
                <c:formatCode>_("$"* #,##0.000_);_("$"* \(#,##0.000\);_("$"* "-"??_);_(@_)</c:formatCode>
                <c:ptCount val="5"/>
                <c:pt idx="0">
                  <c:v>35.19</c:v>
                </c:pt>
                <c:pt idx="1">
                  <c:v>40.177</c:v>
                </c:pt>
                <c:pt idx="2">
                  <c:v>29.356999999999999</c:v>
                </c:pt>
                <c:pt idx="3">
                  <c:v>29.984000000000002</c:v>
                </c:pt>
                <c:pt idx="4">
                  <c:v>33.71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4-E449-8734-DC366C36F28D}"/>
            </c:ext>
          </c:extLst>
        </c:ser>
        <c:ser>
          <c:idx val="2"/>
          <c:order val="2"/>
          <c:tx>
            <c:strRef>
              <c:f>'Product Segment - Apple Revenue'!$A$4</c:f>
              <c:strCache>
                <c:ptCount val="1"/>
                <c:pt idx="0">
                  <c:v>iPad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Revenue'!$B$4:$F$4</c:f>
              <c:numCache>
                <c:formatCode>_("$"* #,##0.000_);_("$"* \(#,##0.000\);_("$"* "-"??_);_(@_)</c:formatCode>
                <c:ptCount val="5"/>
                <c:pt idx="0">
                  <c:v>31.861999999999998</c:v>
                </c:pt>
                <c:pt idx="1">
                  <c:v>29.292000000000002</c:v>
                </c:pt>
                <c:pt idx="2">
                  <c:v>28.3</c:v>
                </c:pt>
                <c:pt idx="3">
                  <c:v>26.693999999999999</c:v>
                </c:pt>
                <c:pt idx="4">
                  <c:v>28.02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4-E449-8734-DC366C36F28D}"/>
            </c:ext>
          </c:extLst>
        </c:ser>
        <c:ser>
          <c:idx val="3"/>
          <c:order val="3"/>
          <c:tx>
            <c:strRef>
              <c:f>'Product Segment - Apple Revenue'!$A$5</c:f>
              <c:strCache>
                <c:ptCount val="1"/>
                <c:pt idx="0">
                  <c:v>Wearables/Home/Accessories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Revenue'!$B$5:$F$5</c:f>
              <c:numCache>
                <c:formatCode>_("$"* #,##0.000_);_("$"* \(#,##0.000\);_("$"* "-"??_);_(@_)</c:formatCode>
                <c:ptCount val="5"/>
                <c:pt idx="0">
                  <c:v>38.366999999999997</c:v>
                </c:pt>
                <c:pt idx="1">
                  <c:v>41.241</c:v>
                </c:pt>
                <c:pt idx="2">
                  <c:v>39.844999999999999</c:v>
                </c:pt>
                <c:pt idx="3">
                  <c:v>37.005000000000003</c:v>
                </c:pt>
                <c:pt idx="4">
                  <c:v>35.69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4-E449-8734-DC366C36F28D}"/>
            </c:ext>
          </c:extLst>
        </c:ser>
        <c:ser>
          <c:idx val="4"/>
          <c:order val="4"/>
          <c:tx>
            <c:strRef>
              <c:f>'Product Segment - Apple Revenue'!$A$6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Revenue'!$B$6:$F$6</c:f>
              <c:numCache>
                <c:formatCode>_("$"* #,##0.000_);_("$"* \(#,##0.000\);_("$"* "-"??_);_(@_)</c:formatCode>
                <c:ptCount val="5"/>
                <c:pt idx="0">
                  <c:v>68.424999999999997</c:v>
                </c:pt>
                <c:pt idx="1">
                  <c:v>78.129000000000005</c:v>
                </c:pt>
                <c:pt idx="2">
                  <c:v>85.2</c:v>
                </c:pt>
                <c:pt idx="3">
                  <c:v>96.168999999999997</c:v>
                </c:pt>
                <c:pt idx="4">
                  <c:v>109.16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E4-E449-8734-DC366C36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03455"/>
        <c:axId val="169555071"/>
      </c:barChart>
      <c:catAx>
        <c:axId val="1050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5071"/>
        <c:crosses val="autoZero"/>
        <c:auto val="1"/>
        <c:lblAlgn val="ctr"/>
        <c:lblOffset val="100"/>
        <c:noMultiLvlLbl val="0"/>
      </c:catAx>
      <c:valAx>
        <c:axId val="16955507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in Billions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$&quot;* #,##0.000_);_(&quot;$&quot;* \(#,##0.0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3455"/>
        <c:crosses val="autoZero"/>
        <c:crossBetween val="between"/>
        <c:majorUnit val="40"/>
        <c:minorUnit val="4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</a:t>
            </a:r>
            <a:r>
              <a:rPr lang="en-US" baseline="0"/>
              <a:t> Revenue, Gross Profit &amp; Operating Income      (FY2021-2026)</a:t>
            </a:r>
            <a:endParaRPr lang="en-US"/>
          </a:p>
        </c:rich>
      </c:tx>
      <c:layout>
        <c:manualLayout>
          <c:xMode val="edge"/>
          <c:yMode val="edge"/>
          <c:x val="0.117652668416448"/>
          <c:y val="4.629629629629628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'Revenue, Gross Profit &amp; Income'!$B$1</c:f>
              <c:strCache>
                <c:ptCount val="1"/>
                <c:pt idx="0">
                  <c:v>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'Revenue, Gross Profit &amp; Income'!$A$2:$A$7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Income'!$B$2:$B$7</c:f>
              <c:numCache>
                <c:formatCode>_("$"* #,##0.000_);_("$"* \(#,##0.000\);_("$"* "-"??_);_(@_)</c:formatCode>
                <c:ptCount val="6"/>
                <c:pt idx="0">
                  <c:v>365.81700000000001</c:v>
                </c:pt>
                <c:pt idx="1">
                  <c:v>394.32799999999997</c:v>
                </c:pt>
                <c:pt idx="2">
                  <c:v>383.28500000000003</c:v>
                </c:pt>
                <c:pt idx="3">
                  <c:v>391.03500000000003</c:v>
                </c:pt>
                <c:pt idx="4">
                  <c:v>416.161</c:v>
                </c:pt>
                <c:pt idx="5">
                  <c:v>451.44200000000001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5-A247-878A-4493812DC259}"/>
            </c:ext>
          </c:extLst>
        </c:ser>
        <c:ser>
          <c:idx val="1"/>
          <c:order val="1"/>
          <c:tx>
            <c:strRef>
              <c:f>'Revenue, Gross Profit &amp; Income'!$C$1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'Revenue, Gross Profit &amp; Income'!$A$2:$A$7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Income'!$C$2:$C$7</c:f>
              <c:numCache>
                <c:formatCode>_("$"* #,##0.000_);_("$"* \(#,##0.000\);_("$"* "-"??_);_(@_)</c:formatCode>
                <c:ptCount val="6"/>
                <c:pt idx="0">
                  <c:v>152.83600000000001</c:v>
                </c:pt>
                <c:pt idx="1">
                  <c:v>170.78200000000001</c:v>
                </c:pt>
                <c:pt idx="2">
                  <c:v>169.148</c:v>
                </c:pt>
                <c:pt idx="3">
                  <c:v>180.68299999999999</c:v>
                </c:pt>
                <c:pt idx="4">
                  <c:v>195.20099999999999</c:v>
                </c:pt>
                <c:pt idx="5">
                  <c:v>216.071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5-A247-878A-4493812DC259}"/>
            </c:ext>
          </c:extLst>
        </c:ser>
        <c:ser>
          <c:idx val="2"/>
          <c:order val="2"/>
          <c:tx>
            <c:strRef>
              <c:f>'Revenue, Gross Profit &amp; Income'!$D$1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c:spPr>
          <c:invertIfNegative val="0"/>
          <c:cat>
            <c:numRef>
              <c:f>'Revenue, Gross Profit &amp; Income'!$A$2:$A$7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Income'!$D$2:$D$7</c:f>
              <c:numCache>
                <c:formatCode>_("$"* #,##0.000_);_("$"* \(#,##0.000\);_("$"* "-"??_);_(@_)</c:formatCode>
                <c:ptCount val="6"/>
                <c:pt idx="0">
                  <c:v>108.949</c:v>
                </c:pt>
                <c:pt idx="1">
                  <c:v>119.437</c:v>
                </c:pt>
                <c:pt idx="2">
                  <c:v>114.301</c:v>
                </c:pt>
                <c:pt idx="3">
                  <c:v>123.05</c:v>
                </c:pt>
                <c:pt idx="4">
                  <c:v>133.05000000000001</c:v>
                </c:pt>
                <c:pt idx="5">
                  <c:v>147.36600000000001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5-A247-878A-4493812DC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50143"/>
        <c:axId val="41238527"/>
      </c:barChart>
      <c:catAx>
        <c:axId val="12355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8527"/>
        <c:crossesAt val="0"/>
        <c:auto val="1"/>
        <c:lblAlgn val="ctr"/>
        <c:lblOffset val="100"/>
        <c:noMultiLvlLbl val="0"/>
      </c:catAx>
      <c:valAx>
        <c:axId val="412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in Billions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$&quot;* #,##0.000_);_(&quot;$&quot;* \(#,##0.0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014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Apple Gross Margin vs. Operating Margin</a:t>
            </a:r>
          </a:p>
          <a:p>
            <a:pPr marL="0" marR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 (FY2021–2026)</a:t>
            </a:r>
            <a:endParaRPr lang="en-US"/>
          </a:p>
        </c:rich>
      </c:tx>
      <c:layout>
        <c:manualLayout>
          <c:xMode val="edge"/>
          <c:yMode val="edge"/>
          <c:x val="0.14121876069839101"/>
          <c:y val="4.166666666666665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'Revenue, Gross Profit &amp; Income'!$B$17</c:f>
              <c:strCache>
                <c:ptCount val="1"/>
                <c:pt idx="0">
                  <c:v>Gross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AD-0A41-80E3-DE90A44A7B5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'Revenue, Gross Profit &amp; Income'!$A$18:$A$23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Income'!$B$18:$B$23</c:f>
              <c:numCache>
                <c:formatCode>0.00%</c:formatCode>
                <c:ptCount val="6"/>
                <c:pt idx="0">
                  <c:v>0.41779359625167778</c:v>
                </c:pt>
                <c:pt idx="1">
                  <c:v>0.43309630561360091</c:v>
                </c:pt>
                <c:pt idx="2">
                  <c:v>0.44131129577207556</c:v>
                </c:pt>
                <c:pt idx="3">
                  <c:v>0.46206349815233927</c:v>
                </c:pt>
                <c:pt idx="4">
                  <c:v>0.46905164107160446</c:v>
                </c:pt>
                <c:pt idx="5">
                  <c:v>0.47862405358827931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D-0A41-80E3-DE90A44A7B5B}"/>
            </c:ext>
          </c:extLst>
        </c:ser>
        <c:ser>
          <c:idx val="1"/>
          <c:order val="1"/>
          <c:tx>
            <c:strRef>
              <c:f>'Revenue, Gross Profit &amp; Income'!$C$17</c:f>
              <c:strCache>
                <c:ptCount val="1"/>
                <c:pt idx="0">
                  <c:v>Operating Margin 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AD-0A41-80E3-DE90A44A7B5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'Revenue, Gross Profit &amp; Income'!$A$18:$A$23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'Revenue, Gross Profit &amp; Income'!$C$18:$C$23</c:f>
              <c:numCache>
                <c:formatCode>0.00%</c:formatCode>
                <c:ptCount val="6"/>
                <c:pt idx="0">
                  <c:v>0.29782377527561593</c:v>
                </c:pt>
                <c:pt idx="1">
                  <c:v>0.302887443955286</c:v>
                </c:pt>
                <c:pt idx="2">
                  <c:v>0.29821412265024722</c:v>
                </c:pt>
                <c:pt idx="3">
                  <c:v>0.31467771427110103</c:v>
                </c:pt>
                <c:pt idx="4">
                  <c:v>0.31970799762591884</c:v>
                </c:pt>
                <c:pt idx="5">
                  <c:v>0.32643396050876972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D-0A41-80E3-DE90A44A7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76255"/>
        <c:axId val="128374911"/>
      </c:lineChart>
      <c:catAx>
        <c:axId val="12837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4911"/>
        <c:crosses val="autoZero"/>
        <c:auto val="1"/>
        <c:lblAlgn val="ctr"/>
        <c:lblOffset val="100"/>
        <c:noMultiLvlLbl val="0"/>
      </c:catAx>
      <c:valAx>
        <c:axId val="1283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62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 Revenue by Product Segment (FY2021–2025)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Segment - Apple Revenue'!$A$2</c:f>
              <c:strCache>
                <c:ptCount val="1"/>
                <c:pt idx="0">
                  <c:v>iPhone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Revenue'!$B$2:$F$2</c:f>
              <c:numCache>
                <c:formatCode>_("$"* #,##0.000_);_("$"* \(#,##0.000\);_("$"* "-"??_);_(@_)</c:formatCode>
                <c:ptCount val="5"/>
                <c:pt idx="0">
                  <c:v>191.97300000000001</c:v>
                </c:pt>
                <c:pt idx="1">
                  <c:v>205.48500000000001</c:v>
                </c:pt>
                <c:pt idx="2">
                  <c:v>200.583</c:v>
                </c:pt>
                <c:pt idx="3">
                  <c:v>201.18299999999999</c:v>
                </c:pt>
                <c:pt idx="4">
                  <c:v>209.59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E-514B-B5E4-3B331BEB5B50}"/>
            </c:ext>
          </c:extLst>
        </c:ser>
        <c:ser>
          <c:idx val="1"/>
          <c:order val="1"/>
          <c:tx>
            <c:strRef>
              <c:f>'Product Segment - Apple Revenue'!$A$3</c:f>
              <c:strCache>
                <c:ptCount val="1"/>
                <c:pt idx="0">
                  <c:v>Mac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Revenue'!$B$3:$F$3</c:f>
              <c:numCache>
                <c:formatCode>_("$"* #,##0.000_);_("$"* \(#,##0.000\);_("$"* "-"??_);_(@_)</c:formatCode>
                <c:ptCount val="5"/>
                <c:pt idx="0">
                  <c:v>35.19</c:v>
                </c:pt>
                <c:pt idx="1">
                  <c:v>40.177</c:v>
                </c:pt>
                <c:pt idx="2">
                  <c:v>29.356999999999999</c:v>
                </c:pt>
                <c:pt idx="3">
                  <c:v>29.984000000000002</c:v>
                </c:pt>
                <c:pt idx="4">
                  <c:v>33.71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E-514B-B5E4-3B331BEB5B50}"/>
            </c:ext>
          </c:extLst>
        </c:ser>
        <c:ser>
          <c:idx val="2"/>
          <c:order val="2"/>
          <c:tx>
            <c:strRef>
              <c:f>'Product Segment - Apple Revenue'!$A$4</c:f>
              <c:strCache>
                <c:ptCount val="1"/>
                <c:pt idx="0">
                  <c:v>iPad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Revenue'!$B$4:$F$4</c:f>
              <c:numCache>
                <c:formatCode>_("$"* #,##0.000_);_("$"* \(#,##0.000\);_("$"* "-"??_);_(@_)</c:formatCode>
                <c:ptCount val="5"/>
                <c:pt idx="0">
                  <c:v>31.861999999999998</c:v>
                </c:pt>
                <c:pt idx="1">
                  <c:v>29.292000000000002</c:v>
                </c:pt>
                <c:pt idx="2">
                  <c:v>28.3</c:v>
                </c:pt>
                <c:pt idx="3">
                  <c:v>26.693999999999999</c:v>
                </c:pt>
                <c:pt idx="4">
                  <c:v>28.02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E-514B-B5E4-3B331BEB5B50}"/>
            </c:ext>
          </c:extLst>
        </c:ser>
        <c:ser>
          <c:idx val="3"/>
          <c:order val="3"/>
          <c:tx>
            <c:strRef>
              <c:f>'Product Segment - Apple Revenue'!$A$5</c:f>
              <c:strCache>
                <c:ptCount val="1"/>
                <c:pt idx="0">
                  <c:v>Wearables/Home/Accessories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Revenue'!$B$5:$F$5</c:f>
              <c:numCache>
                <c:formatCode>_("$"* #,##0.000_);_("$"* \(#,##0.000\);_("$"* "-"??_);_(@_)</c:formatCode>
                <c:ptCount val="5"/>
                <c:pt idx="0">
                  <c:v>38.366999999999997</c:v>
                </c:pt>
                <c:pt idx="1">
                  <c:v>41.241</c:v>
                </c:pt>
                <c:pt idx="2">
                  <c:v>39.844999999999999</c:v>
                </c:pt>
                <c:pt idx="3">
                  <c:v>37.005000000000003</c:v>
                </c:pt>
                <c:pt idx="4">
                  <c:v>35.69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DE-514B-B5E4-3B331BEB5B50}"/>
            </c:ext>
          </c:extLst>
        </c:ser>
        <c:ser>
          <c:idx val="4"/>
          <c:order val="4"/>
          <c:tx>
            <c:strRef>
              <c:f>'Product Segment - Apple Revenue'!$A$6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'Product Segment - Apple Revenue'!$B$1:$F$1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'Product Segment - Apple Revenue'!$B$6:$F$6</c:f>
              <c:numCache>
                <c:formatCode>_("$"* #,##0.000_);_("$"* \(#,##0.000\);_("$"* "-"??_);_(@_)</c:formatCode>
                <c:ptCount val="5"/>
                <c:pt idx="0">
                  <c:v>68.424999999999997</c:v>
                </c:pt>
                <c:pt idx="1">
                  <c:v>78.129000000000005</c:v>
                </c:pt>
                <c:pt idx="2">
                  <c:v>85.2</c:v>
                </c:pt>
                <c:pt idx="3">
                  <c:v>96.168999999999997</c:v>
                </c:pt>
                <c:pt idx="4">
                  <c:v>109.16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DE-514B-B5E4-3B331BEB5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03455"/>
        <c:axId val="169555071"/>
      </c:barChart>
      <c:catAx>
        <c:axId val="1050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5071"/>
        <c:crosses val="autoZero"/>
        <c:auto val="1"/>
        <c:lblAlgn val="ctr"/>
        <c:lblOffset val="100"/>
        <c:noMultiLvlLbl val="0"/>
      </c:catAx>
      <c:valAx>
        <c:axId val="16955507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in Billions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$&quot;* #,##0.000_);_(&quot;$&quot;* \(#,##0.0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03455"/>
        <c:crosses val="autoZero"/>
        <c:crossBetween val="between"/>
        <c:majorUnit val="40"/>
        <c:minorUnit val="4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strike="noStrike" baseline="0"/>
              <a:t>Revenue by Region (FY2021–2025)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6055403988889558"/>
          <c:y val="0.14953644907289818"/>
          <c:w val="0.81031104303356072"/>
          <c:h val="0.6650063500127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'Region - Apple Revenue'!$A$2</c:f>
              <c:strCache>
                <c:ptCount val="1"/>
                <c:pt idx="0">
                  <c:v>Americas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Revenue'!$B$2:$F$2</c:f>
              <c:numCache>
                <c:formatCode>_("$"* #,##0.000_);_("$"* \(#,##0.000\);_("$"* "-"??_);_(@_)</c:formatCode>
                <c:ptCount val="5"/>
                <c:pt idx="0">
                  <c:v>153.30600000000001</c:v>
                </c:pt>
                <c:pt idx="1">
                  <c:v>169.65799999999999</c:v>
                </c:pt>
                <c:pt idx="2">
                  <c:v>162.56</c:v>
                </c:pt>
                <c:pt idx="3">
                  <c:v>167.05</c:v>
                </c:pt>
                <c:pt idx="4">
                  <c:v>178.35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F-B84F-AB55-09E3A8A70D0B}"/>
            </c:ext>
          </c:extLst>
        </c:ser>
        <c:ser>
          <c:idx val="1"/>
          <c:order val="1"/>
          <c:tx>
            <c:strRef>
              <c:f>'Region - Apple Revenue'!$A$3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Revenue'!$B$3:$F$3</c:f>
              <c:numCache>
                <c:formatCode>_("$"* #,##0.000_);_("$"* \(#,##0.000\);_("$"* "-"??_);_(@_)</c:formatCode>
                <c:ptCount val="5"/>
                <c:pt idx="0">
                  <c:v>89.307000000000002</c:v>
                </c:pt>
                <c:pt idx="1">
                  <c:v>95.117999999999995</c:v>
                </c:pt>
                <c:pt idx="2">
                  <c:v>94.293999999999997</c:v>
                </c:pt>
                <c:pt idx="3">
                  <c:v>101.3</c:v>
                </c:pt>
                <c:pt idx="4">
                  <c:v>111.03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F-B84F-AB55-09E3A8A70D0B}"/>
            </c:ext>
          </c:extLst>
        </c:ser>
        <c:ser>
          <c:idx val="2"/>
          <c:order val="2"/>
          <c:tx>
            <c:strRef>
              <c:f>'Region - Apple Revenue'!$A$4</c:f>
              <c:strCache>
                <c:ptCount val="1"/>
                <c:pt idx="0">
                  <c:v>Greater China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Revenue'!$B$4:$F$4</c:f>
              <c:numCache>
                <c:formatCode>_("$"* #,##0.000_);_("$"* \(#,##0.000\);_("$"* "-"??_);_(@_)</c:formatCode>
                <c:ptCount val="5"/>
                <c:pt idx="0">
                  <c:v>68.366</c:v>
                </c:pt>
                <c:pt idx="1">
                  <c:v>74.2</c:v>
                </c:pt>
                <c:pt idx="2">
                  <c:v>72.558999999999997</c:v>
                </c:pt>
                <c:pt idx="3">
                  <c:v>66.95</c:v>
                </c:pt>
                <c:pt idx="4">
                  <c:v>64.38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F-B84F-AB55-09E3A8A70D0B}"/>
            </c:ext>
          </c:extLst>
        </c:ser>
        <c:ser>
          <c:idx val="3"/>
          <c:order val="3"/>
          <c:tx>
            <c:strRef>
              <c:f>'Region - Apple Revenue'!$A$5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Revenue'!$B$5:$F$5</c:f>
              <c:numCache>
                <c:formatCode>_("$"* #,##0.000_);_("$"* \(#,##0.000\);_("$"* "-"??_);_(@_)</c:formatCode>
                <c:ptCount val="5"/>
                <c:pt idx="0">
                  <c:v>28.481999999999999</c:v>
                </c:pt>
                <c:pt idx="1">
                  <c:v>25.977</c:v>
                </c:pt>
                <c:pt idx="2">
                  <c:v>24.257000000000001</c:v>
                </c:pt>
                <c:pt idx="3">
                  <c:v>25.05</c:v>
                </c:pt>
                <c:pt idx="4">
                  <c:v>28.71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F-B84F-AB55-09E3A8A70D0B}"/>
            </c:ext>
          </c:extLst>
        </c:ser>
        <c:ser>
          <c:idx val="4"/>
          <c:order val="4"/>
          <c:tx>
            <c:strRef>
              <c:f>'Region - Apple Revenue'!$A$6</c:f>
              <c:strCache>
                <c:ptCount val="1"/>
                <c:pt idx="0">
                  <c:v>Rest of Asia Pacific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'Region - Apple Revenue'!$B$1:$F$1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'Region - Apple Revenue'!$B$6:$F$6</c:f>
              <c:numCache>
                <c:formatCode>_("$"* #,##0.000_);_("$"* \(#,##0.000\);_("$"* "-"??_);_(@_)</c:formatCode>
                <c:ptCount val="5"/>
                <c:pt idx="0">
                  <c:v>26.356000000000002</c:v>
                </c:pt>
                <c:pt idx="1">
                  <c:v>29.375</c:v>
                </c:pt>
                <c:pt idx="2">
                  <c:v>29.614999999999998</c:v>
                </c:pt>
                <c:pt idx="3">
                  <c:v>30.66</c:v>
                </c:pt>
                <c:pt idx="4">
                  <c:v>33.71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F-B84F-AB55-09E3A8A7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05695"/>
        <c:axId val="200395391"/>
      </c:barChart>
      <c:catAx>
        <c:axId val="2004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95391"/>
        <c:crosses val="autoZero"/>
        <c:auto val="1"/>
        <c:lblAlgn val="ctr"/>
        <c:lblOffset val="100"/>
        <c:noMultiLvlLbl val="0"/>
      </c:catAx>
      <c:valAx>
        <c:axId val="2003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in Billions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_(&quot;$&quot;* #,##0.000_);_(&quot;$&quot;* \(#,##0.0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569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7</xdr:row>
      <xdr:rowOff>165100</xdr:rowOff>
    </xdr:from>
    <xdr:to>
      <xdr:col>7</xdr:col>
      <xdr:colOff>63500</xdr:colOff>
      <xdr:row>23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ECA56B-5979-254E-B639-76C1DF817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8</xdr:row>
      <xdr:rowOff>7620</xdr:rowOff>
    </xdr:from>
    <xdr:to>
      <xdr:col>13</xdr:col>
      <xdr:colOff>243840</xdr:colOff>
      <xdr:row>23</xdr:row>
      <xdr:rowOff>109220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F82B86-899E-D649-84BC-CE4D6BFC0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330200</xdr:colOff>
      <xdr:row>24</xdr:row>
      <xdr:rowOff>127000</xdr:rowOff>
    </xdr:from>
    <xdr:to>
      <xdr:col>13</xdr:col>
      <xdr:colOff>228600</xdr:colOff>
      <xdr:row>41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C0D193-A461-C14D-86A0-0E6DD2ABA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731520</xdr:colOff>
      <xdr:row>24</xdr:row>
      <xdr:rowOff>132080</xdr:rowOff>
    </xdr:from>
    <xdr:to>
      <xdr:col>7</xdr:col>
      <xdr:colOff>40640</xdr:colOff>
      <xdr:row>40</xdr:row>
      <xdr:rowOff>172720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E7BA4A-F6EA-0E4E-909C-79064C922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0</xdr:row>
      <xdr:rowOff>139700</xdr:rowOff>
    </xdr:from>
    <xdr:to>
      <xdr:col>9</xdr:col>
      <xdr:colOff>139700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16</xdr:row>
      <xdr:rowOff>107950</xdr:rowOff>
    </xdr:from>
    <xdr:to>
      <xdr:col>6</xdr:col>
      <xdr:colOff>330200</xdr:colOff>
      <xdr:row>30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6</xdr:row>
      <xdr:rowOff>127000</xdr:rowOff>
    </xdr:from>
    <xdr:to>
      <xdr:col>5</xdr:col>
      <xdr:colOff>670560</xdr:colOff>
      <xdr:row>22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FBFC1-B1CE-3343-8181-A583CEF0B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7</xdr:row>
      <xdr:rowOff>0</xdr:rowOff>
    </xdr:from>
    <xdr:to>
      <xdr:col>5</xdr:col>
      <xdr:colOff>853440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C40574-CF9A-AB40-8724-A8032D1CE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7"/>
  <sheetViews>
    <sheetView showGridLines="0" tabSelected="1" topLeftCell="A10" zoomScale="125" workbookViewId="0">
      <selection activeCell="O19" sqref="O19"/>
    </sheetView>
  </sheetViews>
  <sheetFormatPr baseColWidth="10" defaultColWidth="8.83203125" defaultRowHeight="16" x14ac:dyDescent="0.2"/>
  <cols>
    <col min="1" max="5" width="11" customWidth="1"/>
    <col min="6" max="6" width="16.83203125" customWidth="1"/>
    <col min="7" max="11" width="11" customWidth="1"/>
    <col min="12" max="12" width="21.83203125" customWidth="1"/>
    <col min="13" max="14" width="11" customWidth="1"/>
  </cols>
  <sheetData>
    <row r="1" spans="2:12" ht="26" x14ac:dyDescent="0.3">
      <c r="B1" s="10" t="s">
        <v>13</v>
      </c>
    </row>
    <row r="2" spans="2:12" x14ac:dyDescent="0.2">
      <c r="B2" s="11" t="s">
        <v>14</v>
      </c>
    </row>
    <row r="4" spans="2:12" ht="20" customHeight="1" x14ac:dyDescent="0.2">
      <c r="B4" s="13" t="s">
        <v>15</v>
      </c>
      <c r="C4" s="14"/>
      <c r="E4" s="13" t="s">
        <v>16</v>
      </c>
      <c r="F4" s="14"/>
      <c r="H4" s="13" t="s">
        <v>17</v>
      </c>
      <c r="I4" s="14"/>
      <c r="K4" s="13" t="s">
        <v>18</v>
      </c>
      <c r="L4" s="14"/>
    </row>
    <row r="5" spans="2:12" ht="28" customHeight="1" x14ac:dyDescent="0.2">
      <c r="B5" s="15" t="str">
        <f>"$"&amp;TEXT('Revenue, Gross Profit &amp; Income'!B6,"0.0")&amp;"B"</f>
        <v>$416.2B</v>
      </c>
      <c r="C5" s="14"/>
      <c r="E5" s="15" t="str">
        <f>TEXT(('Revenue, Gross Profit &amp; Income'!B6-'Revenue, Gross Profit &amp; Income'!B5)/'Revenue, Gross Profit &amp; Income'!B5,"0.00%")</f>
        <v>6.43%</v>
      </c>
      <c r="F5" s="14"/>
      <c r="H5" s="15" t="str">
        <f>TEXT('Revenue, Gross Profit &amp; Income'!B22,"0.00%")</f>
        <v>46.91%</v>
      </c>
      <c r="I5" s="14"/>
      <c r="K5" s="15" t="str">
        <f>"iPhone ($"&amp;TEXT('Product Segment - Apple Revenue'!F2,"0.0")&amp;"B)"</f>
        <v>iPhone ($209.6B)</v>
      </c>
      <c r="L5" s="14"/>
    </row>
    <row r="6" spans="2:12" ht="28" customHeight="1" x14ac:dyDescent="0.2">
      <c r="B6" s="14"/>
      <c r="C6" s="14"/>
      <c r="E6" s="14"/>
      <c r="F6" s="14"/>
      <c r="H6" s="14"/>
      <c r="I6" s="14"/>
      <c r="K6" s="14"/>
      <c r="L6" s="14"/>
    </row>
    <row r="44" spans="2:2" x14ac:dyDescent="0.2">
      <c r="B44" s="12" t="s">
        <v>19</v>
      </c>
    </row>
    <row r="47" spans="2:2" x14ac:dyDescent="0.2">
      <c r="B47" s="12"/>
    </row>
  </sheetData>
  <mergeCells count="8">
    <mergeCell ref="E4:F4"/>
    <mergeCell ref="B5:C6"/>
    <mergeCell ref="E5:F6"/>
    <mergeCell ref="K5:L6"/>
    <mergeCell ref="H4:I4"/>
    <mergeCell ref="H5:I6"/>
    <mergeCell ref="K4:L4"/>
    <mergeCell ref="B4:C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activeCell="B34" sqref="B34"/>
    </sheetView>
  </sheetViews>
  <sheetFormatPr baseColWidth="10" defaultRowHeight="16" x14ac:dyDescent="0.2"/>
  <cols>
    <col min="1" max="1" width="15.1640625" customWidth="1"/>
    <col min="2" max="3" width="14.83203125" customWidth="1"/>
    <col min="4" max="4" width="16.5" customWidth="1"/>
    <col min="5" max="5" width="18.5" customWidth="1"/>
    <col min="6" max="6" width="15.33203125" customWidth="1"/>
  </cols>
  <sheetData>
    <row r="1" spans="1:5" x14ac:dyDescent="0.2">
      <c r="A1" s="3" t="s">
        <v>20</v>
      </c>
      <c r="B1" s="3" t="s">
        <v>21</v>
      </c>
      <c r="C1" s="3" t="s">
        <v>22</v>
      </c>
      <c r="D1" s="2" t="s">
        <v>23</v>
      </c>
    </row>
    <row r="2" spans="1:5" x14ac:dyDescent="0.2">
      <c r="A2">
        <v>2021</v>
      </c>
      <c r="B2" s="5">
        <v>365.81700000000001</v>
      </c>
      <c r="C2" s="4">
        <v>152.83600000000001</v>
      </c>
      <c r="D2" s="4">
        <v>108.949</v>
      </c>
    </row>
    <row r="3" spans="1:5" x14ac:dyDescent="0.2">
      <c r="A3">
        <v>2022</v>
      </c>
      <c r="B3" s="5">
        <v>394.32799999999997</v>
      </c>
      <c r="C3" s="4">
        <v>170.78200000000001</v>
      </c>
      <c r="D3" s="4">
        <v>119.437</v>
      </c>
    </row>
    <row r="4" spans="1:5" x14ac:dyDescent="0.2">
      <c r="A4">
        <v>2023</v>
      </c>
      <c r="B4" s="5">
        <v>383.28500000000003</v>
      </c>
      <c r="C4" s="4">
        <v>169.148</v>
      </c>
      <c r="D4" s="4">
        <v>114.301</v>
      </c>
    </row>
    <row r="5" spans="1:5" x14ac:dyDescent="0.2">
      <c r="A5">
        <v>2024</v>
      </c>
      <c r="B5" s="5">
        <v>391.03500000000003</v>
      </c>
      <c r="C5" s="4">
        <v>180.68299999999999</v>
      </c>
      <c r="D5" s="4">
        <v>123.05</v>
      </c>
    </row>
    <row r="6" spans="1:5" x14ac:dyDescent="0.2">
      <c r="A6">
        <v>2025</v>
      </c>
      <c r="B6" s="5">
        <v>416.161</v>
      </c>
      <c r="C6" s="4">
        <v>195.20099999999999</v>
      </c>
      <c r="D6" s="4">
        <v>133.05000000000001</v>
      </c>
    </row>
    <row r="7" spans="1:5" x14ac:dyDescent="0.2">
      <c r="A7">
        <v>2026</v>
      </c>
      <c r="B7" s="5">
        <v>451.44200000000001</v>
      </c>
      <c r="C7" s="4">
        <v>216.071</v>
      </c>
      <c r="D7" s="4">
        <v>147.36600000000001</v>
      </c>
    </row>
    <row r="8" spans="1:5" x14ac:dyDescent="0.2">
      <c r="E8" s="1"/>
    </row>
    <row r="17" spans="1:6" x14ac:dyDescent="0.2">
      <c r="A17" s="3" t="s">
        <v>20</v>
      </c>
      <c r="B17" s="3" t="s">
        <v>24</v>
      </c>
      <c r="C17" s="3" t="s">
        <v>25</v>
      </c>
    </row>
    <row r="18" spans="1:6" x14ac:dyDescent="0.2">
      <c r="A18">
        <v>2021</v>
      </c>
      <c r="B18" s="6">
        <f t="shared" ref="B18:B23" si="0">C2/B2</f>
        <v>0.41779359625167778</v>
      </c>
      <c r="C18" s="6">
        <f t="shared" ref="C18:C23" si="1">D2/B2</f>
        <v>0.29782377527561593</v>
      </c>
    </row>
    <row r="19" spans="1:6" x14ac:dyDescent="0.2">
      <c r="A19">
        <v>2022</v>
      </c>
      <c r="B19" s="6">
        <f t="shared" si="0"/>
        <v>0.43309630561360091</v>
      </c>
      <c r="C19" s="6">
        <f t="shared" si="1"/>
        <v>0.302887443955286</v>
      </c>
    </row>
    <row r="20" spans="1:6" x14ac:dyDescent="0.2">
      <c r="A20">
        <v>2023</v>
      </c>
      <c r="B20" s="6">
        <f t="shared" si="0"/>
        <v>0.44131129577207556</v>
      </c>
      <c r="C20" s="6">
        <f t="shared" si="1"/>
        <v>0.29821412265024722</v>
      </c>
    </row>
    <row r="21" spans="1:6" x14ac:dyDescent="0.2">
      <c r="A21">
        <v>2024</v>
      </c>
      <c r="B21" s="6">
        <f t="shared" si="0"/>
        <v>0.46206349815233927</v>
      </c>
      <c r="C21" s="6">
        <f t="shared" si="1"/>
        <v>0.31467771427110103</v>
      </c>
    </row>
    <row r="22" spans="1:6" x14ac:dyDescent="0.2">
      <c r="A22">
        <v>2025</v>
      </c>
      <c r="B22" s="6">
        <f t="shared" si="0"/>
        <v>0.46905164107160446</v>
      </c>
      <c r="C22" s="6">
        <f t="shared" si="1"/>
        <v>0.31970799762591884</v>
      </c>
    </row>
    <row r="23" spans="1:6" x14ac:dyDescent="0.2">
      <c r="A23">
        <v>2026</v>
      </c>
      <c r="B23" s="6">
        <f t="shared" si="0"/>
        <v>0.47862405358827931</v>
      </c>
      <c r="C23" s="6">
        <f t="shared" si="1"/>
        <v>0.32643396050876972</v>
      </c>
    </row>
    <row r="30" spans="1:6" x14ac:dyDescent="0.2">
      <c r="E30" s="7"/>
    </row>
    <row r="31" spans="1:6" x14ac:dyDescent="0.2">
      <c r="A31" t="s">
        <v>12</v>
      </c>
    </row>
    <row r="32" spans="1:6" x14ac:dyDescent="0.2">
      <c r="B32" s="8"/>
      <c r="F32" s="8"/>
    </row>
    <row r="33" spans="4:6" x14ac:dyDescent="0.2">
      <c r="D33" s="8"/>
      <c r="F33" s="8"/>
    </row>
    <row r="34" spans="4:6" x14ac:dyDescent="0.2">
      <c r="F34" s="8"/>
    </row>
    <row r="35" spans="4:6" x14ac:dyDescent="0.2">
      <c r="D35" s="8"/>
      <c r="F35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D33" sqref="D33"/>
    </sheetView>
  </sheetViews>
  <sheetFormatPr baseColWidth="10" defaultRowHeight="16" x14ac:dyDescent="0.2"/>
  <cols>
    <col min="1" max="1" width="30" customWidth="1"/>
  </cols>
  <sheetData>
    <row r="1" spans="1:6" x14ac:dyDescent="0.2">
      <c r="A1" t="s">
        <v>26</v>
      </c>
      <c r="B1" t="s">
        <v>27</v>
      </c>
      <c r="C1" t="s">
        <v>28</v>
      </c>
      <c r="D1" t="s">
        <v>29</v>
      </c>
      <c r="E1" s="7" t="s">
        <v>30</v>
      </c>
      <c r="F1" t="s">
        <v>31</v>
      </c>
    </row>
    <row r="2" spans="1:6" x14ac:dyDescent="0.2">
      <c r="A2" t="s">
        <v>32</v>
      </c>
      <c r="B2" s="4">
        <v>191.97300000000001</v>
      </c>
      <c r="C2" s="4">
        <v>205.48500000000001</v>
      </c>
      <c r="D2" s="4">
        <v>200.583</v>
      </c>
      <c r="E2" s="4">
        <v>201.18299999999999</v>
      </c>
      <c r="F2" s="4">
        <v>209.59</v>
      </c>
    </row>
    <row r="3" spans="1:6" x14ac:dyDescent="0.2">
      <c r="A3" t="s">
        <v>37</v>
      </c>
      <c r="B3" s="4">
        <v>35.19</v>
      </c>
      <c r="C3" s="4">
        <v>40.177</v>
      </c>
      <c r="D3" s="4">
        <v>29.356999999999999</v>
      </c>
      <c r="E3" s="4">
        <v>29.984000000000002</v>
      </c>
      <c r="F3" s="4">
        <v>33.71</v>
      </c>
    </row>
    <row r="4" spans="1:6" x14ac:dyDescent="0.2">
      <c r="A4" t="s">
        <v>33</v>
      </c>
      <c r="B4" s="4">
        <v>31.861999999999998</v>
      </c>
      <c r="C4" s="4">
        <v>29.292000000000002</v>
      </c>
      <c r="D4" s="4">
        <v>28.3</v>
      </c>
      <c r="E4" s="4">
        <v>26.693999999999999</v>
      </c>
      <c r="F4" s="4">
        <v>28.02</v>
      </c>
    </row>
    <row r="5" spans="1:6" x14ac:dyDescent="0.2">
      <c r="A5" t="s">
        <v>34</v>
      </c>
      <c r="B5" s="4">
        <v>38.366999999999997</v>
      </c>
      <c r="C5" s="4">
        <v>41.241</v>
      </c>
      <c r="D5" s="4">
        <v>39.844999999999999</v>
      </c>
      <c r="E5" s="4">
        <v>37.005000000000003</v>
      </c>
      <c r="F5" s="4">
        <v>35.69</v>
      </c>
    </row>
    <row r="6" spans="1:6" x14ac:dyDescent="0.2">
      <c r="A6" t="s">
        <v>35</v>
      </c>
      <c r="B6" s="4">
        <v>68.424999999999997</v>
      </c>
      <c r="C6" s="4">
        <v>78.129000000000005</v>
      </c>
      <c r="D6" s="4">
        <v>85.2</v>
      </c>
      <c r="E6" s="4">
        <v>96.168999999999997</v>
      </c>
      <c r="F6" s="4">
        <v>109.16</v>
      </c>
    </row>
    <row r="25" spans="1:1" x14ac:dyDescent="0.2">
      <c r="A25" t="s">
        <v>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F35" sqref="F35"/>
    </sheetView>
  </sheetViews>
  <sheetFormatPr baseColWidth="10" defaultRowHeight="16" x14ac:dyDescent="0.2"/>
  <cols>
    <col min="1" max="1" width="18.1640625" customWidth="1"/>
    <col min="2" max="3" width="15.5" bestFit="1" customWidth="1"/>
    <col min="4" max="6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4">
        <v>153.30600000000001</v>
      </c>
      <c r="C2" s="4">
        <v>169.65799999999999</v>
      </c>
      <c r="D2" s="4">
        <v>162.56</v>
      </c>
      <c r="E2" s="4">
        <v>167.05</v>
      </c>
      <c r="F2" s="4">
        <v>178.35</v>
      </c>
    </row>
    <row r="3" spans="1:6" x14ac:dyDescent="0.2">
      <c r="A3" t="s">
        <v>7</v>
      </c>
      <c r="B3" s="4">
        <v>89.307000000000002</v>
      </c>
      <c r="C3" s="4">
        <v>95.117999999999995</v>
      </c>
      <c r="D3" s="4">
        <v>94.293999999999997</v>
      </c>
      <c r="E3" s="4">
        <v>101.3</v>
      </c>
      <c r="F3" s="4">
        <v>111.03</v>
      </c>
    </row>
    <row r="4" spans="1:6" x14ac:dyDescent="0.2">
      <c r="A4" t="s">
        <v>8</v>
      </c>
      <c r="B4" s="4">
        <v>68.366</v>
      </c>
      <c r="C4" s="4">
        <v>74.2</v>
      </c>
      <c r="D4" s="4">
        <v>72.558999999999997</v>
      </c>
      <c r="E4" s="4">
        <v>66.95</v>
      </c>
      <c r="F4" s="4">
        <v>64.38</v>
      </c>
    </row>
    <row r="5" spans="1:6" x14ac:dyDescent="0.2">
      <c r="A5" t="s">
        <v>9</v>
      </c>
      <c r="B5" s="4">
        <v>28.481999999999999</v>
      </c>
      <c r="C5" s="4">
        <v>25.977</v>
      </c>
      <c r="D5" s="4">
        <v>24.257000000000001</v>
      </c>
      <c r="E5" s="4">
        <v>25.05</v>
      </c>
      <c r="F5" s="4">
        <v>28.71</v>
      </c>
    </row>
    <row r="6" spans="1:6" x14ac:dyDescent="0.2">
      <c r="A6" t="s">
        <v>10</v>
      </c>
      <c r="B6" s="4">
        <v>26.356000000000002</v>
      </c>
      <c r="C6" s="4">
        <v>29.375</v>
      </c>
      <c r="D6" s="4">
        <v>29.614999999999998</v>
      </c>
      <c r="E6" s="4">
        <v>30.66</v>
      </c>
      <c r="F6" s="4">
        <v>33.71</v>
      </c>
    </row>
    <row r="7" spans="1:6" x14ac:dyDescent="0.2">
      <c r="A7" t="s">
        <v>11</v>
      </c>
      <c r="B7" s="4">
        <f>SUM(B2:B6)</f>
        <v>365.81700000000001</v>
      </c>
      <c r="C7" s="4">
        <f>SUM(C2:C6)</f>
        <v>394.32799999999992</v>
      </c>
      <c r="D7" s="4">
        <f>SUM(D2:D6)</f>
        <v>383.28500000000003</v>
      </c>
      <c r="E7" s="4">
        <f>SUM(E2:E6)</f>
        <v>391.01000000000005</v>
      </c>
      <c r="F7" s="4">
        <f>SUM(F2:F6)</f>
        <v>416.17999999999995</v>
      </c>
    </row>
    <row r="24" spans="1:1" x14ac:dyDescent="0.2">
      <c r="A24" t="s">
        <v>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4"/>
  <sheetViews>
    <sheetView workbookViewId="0">
      <selection activeCell="B1" sqref="B1"/>
    </sheetView>
  </sheetViews>
  <sheetFormatPr baseColWidth="10" defaultRowHeight="16" x14ac:dyDescent="0.2"/>
  <cols>
    <col min="1" max="11" width="11" customWidth="1"/>
    <col min="12" max="12" width="26" customWidth="1"/>
  </cols>
  <sheetData>
    <row r="1" spans="2:12" ht="19" x14ac:dyDescent="0.25">
      <c r="B1" s="9" t="s">
        <v>36</v>
      </c>
    </row>
    <row r="2" spans="2:12" ht="20" customHeight="1" x14ac:dyDescent="0.2">
      <c r="B2" s="13" t="s">
        <v>15</v>
      </c>
      <c r="C2" s="20"/>
      <c r="E2" s="13" t="s">
        <v>16</v>
      </c>
      <c r="F2" s="20"/>
      <c r="H2" s="13" t="s">
        <v>17</v>
      </c>
      <c r="I2" s="20"/>
      <c r="K2" s="13" t="s">
        <v>18</v>
      </c>
      <c r="L2" s="20"/>
    </row>
    <row r="3" spans="2:12" ht="30" customHeight="1" x14ac:dyDescent="0.2">
      <c r="B3" s="16" t="str">
        <f>"$"&amp;TEXT('Revenue, Gross Profit &amp; Income'!B6,"0.0")&amp;"B"</f>
        <v>$416.2B</v>
      </c>
      <c r="C3" s="17"/>
      <c r="E3" s="16" t="str">
        <f>TEXT(('Revenue, Gross Profit &amp; Income'!B6-'Revenue, Gross Profit &amp; Income'!B5)/'Revenue, Gross Profit &amp; Income'!B5,"0.00%")</f>
        <v>6.43%</v>
      </c>
      <c r="F3" s="17"/>
      <c r="H3" s="16" t="str">
        <f>TEXT('Revenue, Gross Profit &amp; Income'!B22,"0.00%")</f>
        <v>46.91%</v>
      </c>
      <c r="I3" s="17"/>
      <c r="K3" s="16" t="str">
        <f>"iPhone ($"&amp;TEXT('Product Segment - Apple Revenue'!F2,"0.0")&amp;"B)"</f>
        <v>iPhone ($209.6B)</v>
      </c>
      <c r="L3" s="17"/>
    </row>
    <row r="4" spans="2:12" ht="30" customHeight="1" x14ac:dyDescent="0.2">
      <c r="B4" s="18"/>
      <c r="C4" s="19"/>
      <c r="E4" s="18"/>
      <c r="F4" s="19"/>
      <c r="H4" s="18"/>
      <c r="I4" s="19"/>
      <c r="K4" s="18"/>
      <c r="L4" s="19"/>
    </row>
  </sheetData>
  <mergeCells count="8">
    <mergeCell ref="E3:F4"/>
    <mergeCell ref="K3:L4"/>
    <mergeCell ref="H3:I4"/>
    <mergeCell ref="B2:C2"/>
    <mergeCell ref="H2:I2"/>
    <mergeCell ref="E2:F2"/>
    <mergeCell ref="K2:L2"/>
    <mergeCell ref="B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Revenue, Gross Profit &amp; Income</vt:lpstr>
      <vt:lpstr>Product Segment - Apple Revenue</vt:lpstr>
      <vt:lpstr>Region - Apple Revenue</vt:lpstr>
      <vt:lpstr>KIP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Seth</dc:creator>
  <cp:lastModifiedBy>Arushi Seth</cp:lastModifiedBy>
  <dcterms:created xsi:type="dcterms:W3CDTF">2026-07-11T22:25:45Z</dcterms:created>
  <dcterms:modified xsi:type="dcterms:W3CDTF">2026-07-12T01:42:44Z</dcterms:modified>
</cp:coreProperties>
</file>