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rushiseth/Desktop/"/>
    </mc:Choice>
  </mc:AlternateContent>
  <xr:revisionPtr revIDLastSave="0" documentId="13_ncr:1_{C987DB22-3015-424B-8F30-D96A3A09A445}" xr6:coauthVersionLast="47" xr6:coauthVersionMax="47" xr10:uidLastSave="{00000000-0000-0000-0000-000000000000}"/>
  <bookViews>
    <workbookView xWindow="0" yWindow="660" windowWidth="14720" windowHeight="17180" xr2:uid="{00000000-000D-0000-FFFF-FFFF00000000}"/>
  </bookViews>
  <sheets>
    <sheet name="Financial Model" sheetId="1" r:id="rId1"/>
    <sheet name="Income Statement" sheetId="2" r:id="rId2"/>
    <sheet name="Balance Sheet" sheetId="3" r:id="rId3"/>
    <sheet name="Cash Flow Statemen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4" l="1"/>
  <c r="B28" i="4"/>
  <c r="B40" i="2"/>
  <c r="B21" i="1"/>
  <c r="B20" i="1"/>
  <c r="B18" i="1"/>
  <c r="B15" i="1"/>
  <c r="B12" i="1"/>
  <c r="B19" i="1"/>
  <c r="B14" i="1"/>
  <c r="B9" i="1"/>
  <c r="B26" i="4"/>
  <c r="B20" i="4"/>
  <c r="B29" i="3"/>
  <c r="B34" i="3" s="1"/>
  <c r="B19" i="3"/>
  <c r="B20" i="3" s="1"/>
  <c r="B13" i="3"/>
  <c r="B15" i="3" s="1"/>
  <c r="B9" i="3"/>
  <c r="B10" i="3" s="1"/>
  <c r="B22" i="3" s="1"/>
  <c r="B36" i="2"/>
  <c r="B35" i="2"/>
  <c r="B34" i="2"/>
  <c r="B33" i="2"/>
  <c r="B32" i="2"/>
  <c r="B31" i="2"/>
  <c r="B30" i="2"/>
  <c r="B37" i="2" s="1"/>
  <c r="B29" i="2"/>
  <c r="B25" i="2"/>
  <c r="B24" i="2"/>
  <c r="B23" i="2"/>
  <c r="B22" i="2"/>
  <c r="B26" i="2" s="1"/>
  <c r="B6" i="1"/>
  <c r="B5" i="1"/>
  <c r="B10" i="1" s="1"/>
  <c r="B39" i="2" l="1"/>
  <c r="B4" i="1"/>
  <c r="B38" i="3" l="1"/>
  <c r="B40" i="3" s="1"/>
  <c r="B42" i="3" s="1"/>
  <c r="B5" i="4"/>
  <c r="B14" i="4" s="1"/>
</calcChain>
</file>

<file path=xl/sharedStrings.xml><?xml version="1.0" encoding="utf-8"?>
<sst xmlns="http://schemas.openxmlformats.org/spreadsheetml/2006/main" count="127" uniqueCount="109">
  <si>
    <t>Calgary Food Bank</t>
  </si>
  <si>
    <t>Contribution Margin Ratio</t>
  </si>
  <si>
    <t>Break-Even Revenue</t>
  </si>
  <si>
    <t>Current Revenue</t>
  </si>
  <si>
    <t>Safety Margin (%)</t>
  </si>
  <si>
    <t>Operating Expense Ratio</t>
  </si>
  <si>
    <t>Revenue per Dollar Donated (CFB Efficiency)</t>
  </si>
  <si>
    <t>Admin Cost Ratio</t>
  </si>
  <si>
    <t>Program Cost Ratio</t>
  </si>
  <si>
    <t>ASSUMPTIONS</t>
  </si>
  <si>
    <t>Annual Monetary Donations</t>
  </si>
  <si>
    <t>In-Kind Food Donations (Value)</t>
  </si>
  <si>
    <t>Grant Funding</t>
  </si>
  <si>
    <t>Income Statement</t>
  </si>
  <si>
    <t>Other Revenue (Events, etc.)</t>
  </si>
  <si>
    <t>For the year ended December 31,2022</t>
  </si>
  <si>
    <t>Staff Costs (Annual)</t>
  </si>
  <si>
    <t>Revenue</t>
  </si>
  <si>
    <t>Facility Rent/Lease</t>
  </si>
  <si>
    <t>Monetary Donations</t>
  </si>
  <si>
    <t>Utilities &amp; Maintenance</t>
  </si>
  <si>
    <t>In-Kind Food Donations</t>
  </si>
  <si>
    <t>Vehicles &amp; Transportation</t>
  </si>
  <si>
    <t>Technology &amp; Systems</t>
  </si>
  <si>
    <t>Other Revenue</t>
  </si>
  <si>
    <t>Administration &amp; Office</t>
  </si>
  <si>
    <t>Marketing &amp; Outreach</t>
  </si>
  <si>
    <t>Food Storage &amp; Distribution</t>
  </si>
  <si>
    <t>Operating Expenses</t>
  </si>
  <si>
    <t>Staff Costs</t>
  </si>
  <si>
    <t xml:space="preserve">Balance Sheet </t>
  </si>
  <si>
    <t>As of December 31,2024</t>
  </si>
  <si>
    <t>Current Assets</t>
  </si>
  <si>
    <t>Cash and Cash Equivalents</t>
  </si>
  <si>
    <t>Accounts Receivable</t>
  </si>
  <si>
    <t>Food Inventory</t>
  </si>
  <si>
    <t>Supplies &amp; Materials</t>
  </si>
  <si>
    <t>Total Current Assets</t>
  </si>
  <si>
    <t>Fixed Assets</t>
  </si>
  <si>
    <t>Equipment &amp; Vehicles</t>
  </si>
  <si>
    <t>Less: Accumulated Depreciation</t>
  </si>
  <si>
    <t>Net Fixed Assets</t>
  </si>
  <si>
    <t>Other Assets</t>
  </si>
  <si>
    <t>Prepaid Expenses &amp; Other</t>
  </si>
  <si>
    <t>Accumulated Donations / Grants</t>
  </si>
  <si>
    <t>Total Other Assets</t>
  </si>
  <si>
    <t>Current Liabilities</t>
  </si>
  <si>
    <t>Accounts Payable</t>
  </si>
  <si>
    <t>Accrued Expenses</t>
  </si>
  <si>
    <t>Current Portion of Debt</t>
  </si>
  <si>
    <t>Total Current Liabilities</t>
  </si>
  <si>
    <t>Long-Term Liabilities</t>
  </si>
  <si>
    <t>Long-Term Debt</t>
  </si>
  <si>
    <t>Owner's Equity</t>
  </si>
  <si>
    <t>Owner's Equity (Opening Balance)</t>
  </si>
  <si>
    <t>Add: Current Year Surplus from Operations</t>
  </si>
  <si>
    <t xml:space="preserve">Statement of Cash Flow </t>
  </si>
  <si>
    <t>For the Month Ended Dec,31,2023</t>
  </si>
  <si>
    <t>OPERATING ACTIVITIES</t>
  </si>
  <si>
    <t>Net Income</t>
  </si>
  <si>
    <t>Adjustments to reconcile net income to cash:</t>
  </si>
  <si>
    <t>Depreciation Expense</t>
  </si>
  <si>
    <t>Change in Accounts Receivable</t>
  </si>
  <si>
    <t>Change in Food Inventory</t>
  </si>
  <si>
    <t>Change in Supplies</t>
  </si>
  <si>
    <t>Change in Accounts Payable</t>
  </si>
  <si>
    <t>Change in Accrued Expenses</t>
  </si>
  <si>
    <t>Net Cash from Operating Activities</t>
  </si>
  <si>
    <t>INVESTING ACTIVITIES</t>
  </si>
  <si>
    <t>Purchase of Equipment</t>
  </si>
  <si>
    <t>Purchase of Vehicles</t>
  </si>
  <si>
    <t>Proceeds from Sale of Equipment</t>
  </si>
  <si>
    <t>Net Cash from Investing Activities</t>
  </si>
  <si>
    <t>FINANCING ACTIVITIES</t>
  </si>
  <si>
    <t>Proceeds from Loan/Grants</t>
  </si>
  <si>
    <t>Loan Repayments</t>
  </si>
  <si>
    <t>Donations (Restricted Funds)</t>
  </si>
  <si>
    <t>Net Cash from Financing Activities</t>
  </si>
  <si>
    <t>Net Increase/(Decrease) in Cash</t>
  </si>
  <si>
    <t>Cash at Beginning of Year</t>
  </si>
  <si>
    <t>Cash at End of Year</t>
  </si>
  <si>
    <t>Net Profit Margin</t>
  </si>
  <si>
    <t>Net Income (Surplus/Deficit)</t>
  </si>
  <si>
    <t>Total Revenue</t>
  </si>
  <si>
    <t xml:space="preserve">Total Operating </t>
  </si>
  <si>
    <t xml:space="preserve">Total Variable Costs </t>
  </si>
  <si>
    <t xml:space="preserve">Total Fixed Costs </t>
  </si>
  <si>
    <t xml:space="preserve">Variable Cost Ratio </t>
  </si>
  <si>
    <t>Assets</t>
  </si>
  <si>
    <t>Total Assets</t>
  </si>
  <si>
    <t xml:space="preserve">Total Liabilities </t>
  </si>
  <si>
    <t>Total Owner's Equity</t>
  </si>
  <si>
    <t xml:space="preserve">Total Liability &amp; Owner's Equity </t>
  </si>
  <si>
    <t>Liabilities &amp; Owner's Equity</t>
  </si>
  <si>
    <t>Variable</t>
  </si>
  <si>
    <t>Fixed</t>
  </si>
  <si>
    <t xml:space="preserve">Key Metrics </t>
  </si>
  <si>
    <t xml:space="preserve">Break-Even Analysis </t>
  </si>
  <si>
    <t>1-0.38</t>
  </si>
  <si>
    <t>875,000/2,300,000</t>
  </si>
  <si>
    <t>410000/0.62</t>
  </si>
  <si>
    <t>2300000-661,754.39</t>
  </si>
  <si>
    <t>1,285,000 / 2,300,000</t>
  </si>
  <si>
    <t>1,200,000+600,000 / 1,200,000</t>
  </si>
  <si>
    <t>50,000 / 2,300,000</t>
  </si>
  <si>
    <t>800,000+75,000 / 2,300,000</t>
  </si>
  <si>
    <t>2,300,000/1,285,000</t>
  </si>
  <si>
    <t>1,015,000+(-120,000)+125,000</t>
  </si>
  <si>
    <t>1,020,000+300,0000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</si>
</sst>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"/>
    <numFmt numFmtId="165" formatCode="0.0%"/>
    <numFmt numFmtId="166" formatCode="_(&quot;$&quot;* #,##0_);_(&quot;$&quot;* \(#,##0\);_(&quot;$&quot;* &quot;-&quot;??_);_(@_)"/>
    <numFmt numFmtId="167" formatCode="_(* #,##0.0_);_(* \(#,##0.0\);_(* &quot;-&quot;??_);_(@_)"/>
  </numFmts>
  <fonts count="1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sz val="14"/>
      <color theme="1"/>
      <name val="Calibri (Body)"/>
    </font>
    <font>
      <b/>
      <sz val="14"/>
      <name val="Calibri (Body)"/>
    </font>
    <font>
      <b/>
      <sz val="14"/>
      <color theme="1"/>
      <name val="Calibri"/>
      <family val="2"/>
    </font>
    <font>
      <b/>
      <sz val="14"/>
      <color theme="1"/>
      <name val="Calibri (Body)"/>
    </font>
    <font>
      <b/>
      <sz val="14"/>
      <color rgb="FF000000"/>
      <name val="Calibri (Body)"/>
    </font>
    <font>
      <sz val="14"/>
      <color rgb="FF000000"/>
      <name val="Calibri (Body)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D9E1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164" fontId="0" fillId="0" borderId="0" xfId="0" applyNumberFormat="1"/>
    <xf numFmtId="164" fontId="2" fillId="0" borderId="0" xfId="0" applyNumberFormat="1" applyFont="1"/>
    <xf numFmtId="3" fontId="0" fillId="0" borderId="0" xfId="0" applyNumberFormat="1"/>
    <xf numFmtId="0" fontId="3" fillId="2" borderId="0" xfId="0" applyFont="1" applyFill="1"/>
    <xf numFmtId="0" fontId="4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164" fontId="10" fillId="0" borderId="0" xfId="0" applyNumberFormat="1" applyFont="1"/>
    <xf numFmtId="164" fontId="8" fillId="0" borderId="0" xfId="0" applyNumberFormat="1" applyFont="1"/>
    <xf numFmtId="0" fontId="13" fillId="0" borderId="0" xfId="0" applyFont="1"/>
    <xf numFmtId="10" fontId="1" fillId="0" borderId="0" xfId="3" applyNumberFormat="1" applyFont="1"/>
    <xf numFmtId="166" fontId="5" fillId="0" borderId="0" xfId="2" applyNumberFormat="1" applyFont="1"/>
    <xf numFmtId="166" fontId="13" fillId="0" borderId="2" xfId="2" applyNumberFormat="1" applyFont="1" applyBorder="1"/>
    <xf numFmtId="166" fontId="4" fillId="0" borderId="0" xfId="2" applyNumberFormat="1" applyFont="1"/>
    <xf numFmtId="44" fontId="7" fillId="0" borderId="0" xfId="2" applyFont="1"/>
    <xf numFmtId="44" fontId="12" fillId="0" borderId="0" xfId="2" applyFont="1"/>
    <xf numFmtId="166" fontId="7" fillId="0" borderId="0" xfId="2" applyNumberFormat="1" applyFont="1"/>
    <xf numFmtId="166" fontId="9" fillId="0" borderId="0" xfId="2" applyNumberFormat="1" applyFont="1"/>
    <xf numFmtId="166" fontId="13" fillId="0" borderId="1" xfId="2" applyNumberFormat="1" applyFont="1" applyBorder="1"/>
    <xf numFmtId="165" fontId="12" fillId="0" borderId="0" xfId="3" applyNumberFormat="1" applyFont="1"/>
    <xf numFmtId="165" fontId="12" fillId="0" borderId="0" xfId="2" applyNumberFormat="1" applyFont="1"/>
    <xf numFmtId="44" fontId="13" fillId="0" borderId="0" xfId="2" applyFont="1" applyFill="1"/>
    <xf numFmtId="165" fontId="7" fillId="0" borderId="0" xfId="3" applyNumberFormat="1" applyFont="1"/>
    <xf numFmtId="167" fontId="7" fillId="0" borderId="0" xfId="1" applyNumberFormat="1" applyFont="1"/>
    <xf numFmtId="166" fontId="15" fillId="0" borderId="0" xfId="2" applyNumberFormat="1" applyFont="1"/>
    <xf numFmtId="166" fontId="10" fillId="0" borderId="0" xfId="2" applyNumberFormat="1" applyFont="1"/>
    <xf numFmtId="166" fontId="9" fillId="0" borderId="2" xfId="2" applyNumberFormat="1" applyFont="1" applyBorder="1"/>
    <xf numFmtId="44" fontId="8" fillId="0" borderId="0" xfId="2" applyFont="1" applyFill="1"/>
    <xf numFmtId="44" fontId="7" fillId="0" borderId="0" xfId="2" applyFont="1" applyFill="1"/>
    <xf numFmtId="9" fontId="8" fillId="0" borderId="0" xfId="3" applyFont="1" applyFill="1"/>
    <xf numFmtId="166" fontId="10" fillId="0" borderId="1" xfId="2" applyNumberFormat="1" applyFont="1" applyBorder="1"/>
    <xf numFmtId="166" fontId="10" fillId="0" borderId="2" xfId="2" applyNumberFormat="1" applyFont="1" applyBorder="1"/>
    <xf numFmtId="166" fontId="10" fillId="0" borderId="0" xfId="2" applyNumberFormat="1" applyFont="1" applyAlignment="1">
      <alignment horizontal="center"/>
    </xf>
    <xf numFmtId="0" fontId="13" fillId="3" borderId="0" xfId="0" applyFont="1" applyFill="1"/>
    <xf numFmtId="166" fontId="10" fillId="3" borderId="0" xfId="2" applyNumberFormat="1" applyFont="1" applyFill="1"/>
    <xf numFmtId="166" fontId="10" fillId="5" borderId="0" xfId="2" applyNumberFormat="1" applyFont="1" applyFill="1"/>
    <xf numFmtId="166" fontId="9" fillId="3" borderId="0" xfId="2" applyNumberFormat="1" applyFont="1" applyFill="1"/>
    <xf numFmtId="166" fontId="4" fillId="0" borderId="0" xfId="2" applyNumberFormat="1" applyFont="1" applyFill="1"/>
    <xf numFmtId="166" fontId="9" fillId="0" borderId="1" xfId="2" applyNumberFormat="1" applyFont="1" applyBorder="1"/>
    <xf numFmtId="166" fontId="15" fillId="0" borderId="2" xfId="2" applyNumberFormat="1" applyFont="1" applyFill="1" applyBorder="1"/>
    <xf numFmtId="166" fontId="12" fillId="0" borderId="0" xfId="2" applyNumberFormat="1" applyFont="1"/>
    <xf numFmtId="166" fontId="7" fillId="0" borderId="0" xfId="2" applyNumberFormat="1" applyFont="1" applyFill="1"/>
    <xf numFmtId="0" fontId="8" fillId="0" borderId="0" xfId="0" applyFont="1" applyAlignment="1">
      <alignment horizontal="center"/>
    </xf>
    <xf numFmtId="0" fontId="1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16" fillId="0" borderId="0" xfId="0" applyFont="1" applyAlignment="1">
      <alignment horizontal="center"/>
    </xf>
    <xf numFmtId="0" fontId="4" fillId="0" borderId="0" xfId="0" applyFont="1"/>
    <xf numFmtId="0" fontId="13" fillId="0" borderId="0" xfId="0" applyFont="1" applyAlignment="1">
      <alignment horizontal="center"/>
    </xf>
    <xf numFmtId="0" fontId="13" fillId="3" borderId="0" xfId="0" applyFont="1" applyFill="1" applyAlignment="1">
      <alignment horizontal="center"/>
    </xf>
    <xf numFmtId="0" fontId="0" fillId="3" borderId="0" xfId="0" applyFill="1"/>
    <xf numFmtId="166" fontId="10" fillId="4" borderId="0" xfId="2" applyNumberFormat="1" applyFont="1" applyFill="1" applyAlignment="1">
      <alignment horizontal="center"/>
    </xf>
    <xf numFmtId="166" fontId="14" fillId="3" borderId="0" xfId="2" applyNumberFormat="1" applyFont="1" applyFill="1"/>
    <xf numFmtId="0" fontId="10" fillId="0" borderId="0" xfId="0" applyFont="1" applyAlignment="1">
      <alignment horizontal="center"/>
    </xf>
    <xf numFmtId="166" fontId="9" fillId="4" borderId="0" xfId="2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topLeftCell="A3" zoomScale="140" workbookViewId="0">
      <selection activeCell="F14" sqref="F14"/>
    </sheetView>
  </sheetViews>
  <sheetFormatPr baseColWidth="10" defaultColWidth="8.83203125" defaultRowHeight="15" x14ac:dyDescent="0.2"/>
  <cols>
    <col min="1" max="1" width="48.33203125" customWidth="1"/>
    <col min="2" max="4" width="18" customWidth="1"/>
  </cols>
  <sheetData>
    <row r="1" spans="1:3" ht="19" customHeight="1" x14ac:dyDescent="0.25">
      <c r="A1" s="46" t="s">
        <v>0</v>
      </c>
      <c r="B1" s="46"/>
    </row>
    <row r="2" spans="1:3" ht="19" customHeight="1" x14ac:dyDescent="0.25">
      <c r="A2" s="47" t="s">
        <v>97</v>
      </c>
      <c r="B2" s="47"/>
    </row>
    <row r="3" spans="1:3" ht="19" customHeight="1" x14ac:dyDescent="0.25">
      <c r="A3" s="7"/>
      <c r="B3" s="7"/>
    </row>
    <row r="4" spans="1:3" ht="19" customHeight="1" x14ac:dyDescent="0.25">
      <c r="A4" s="7" t="s">
        <v>86</v>
      </c>
      <c r="B4" s="44">
        <f>SUM('Income Statement'!B30:B35)</f>
        <v>410000</v>
      </c>
    </row>
    <row r="5" spans="1:3" ht="19" customHeight="1" x14ac:dyDescent="0.25">
      <c r="A5" s="7" t="s">
        <v>85</v>
      </c>
      <c r="B5" s="44">
        <f>'Income Statement'!B29+'Income Statement'!B36</f>
        <v>875000</v>
      </c>
    </row>
    <row r="6" spans="1:3" ht="19" customHeight="1" x14ac:dyDescent="0.25">
      <c r="A6" s="7" t="s">
        <v>83</v>
      </c>
      <c r="B6" s="44">
        <f>SUM('Income Statement'!B2:B5)</f>
        <v>2300000</v>
      </c>
    </row>
    <row r="7" spans="1:3" ht="19" customHeight="1" x14ac:dyDescent="0.25">
      <c r="A7" s="7"/>
      <c r="B7" s="19"/>
    </row>
    <row r="8" spans="1:3" ht="19" customHeight="1" x14ac:dyDescent="0.25">
      <c r="A8" s="7"/>
      <c r="B8" s="19"/>
    </row>
    <row r="9" spans="1:3" ht="19" customHeight="1" x14ac:dyDescent="0.25">
      <c r="A9" s="7" t="s">
        <v>87</v>
      </c>
      <c r="B9" s="23">
        <f>B5/B6</f>
        <v>0.38043478260869568</v>
      </c>
      <c r="C9" t="s">
        <v>99</v>
      </c>
    </row>
    <row r="10" spans="1:3" ht="19" customHeight="1" x14ac:dyDescent="0.25">
      <c r="A10" s="7" t="s">
        <v>1</v>
      </c>
      <c r="B10" s="24">
        <f>1-B9</f>
        <v>0.61956521739130432</v>
      </c>
      <c r="C10" t="s">
        <v>98</v>
      </c>
    </row>
    <row r="11" spans="1:3" ht="19" customHeight="1" x14ac:dyDescent="0.25">
      <c r="A11" s="7"/>
      <c r="B11" s="18"/>
    </row>
    <row r="12" spans="1:3" ht="19" customHeight="1" x14ac:dyDescent="0.25">
      <c r="A12" s="8" t="s">
        <v>2</v>
      </c>
      <c r="B12" s="31">
        <f>B4/B10</f>
        <v>661754.38596491236</v>
      </c>
      <c r="C12" s="4" t="s">
        <v>100</v>
      </c>
    </row>
    <row r="13" spans="1:3" ht="19" customHeight="1" x14ac:dyDescent="0.25">
      <c r="A13" s="7"/>
      <c r="B13" s="32"/>
    </row>
    <row r="14" spans="1:3" ht="19" customHeight="1" x14ac:dyDescent="0.25">
      <c r="A14" s="7" t="s">
        <v>3</v>
      </c>
      <c r="B14" s="45">
        <f>B6</f>
        <v>2300000</v>
      </c>
    </row>
    <row r="15" spans="1:3" ht="19" customHeight="1" x14ac:dyDescent="0.25">
      <c r="A15" s="7" t="s">
        <v>4</v>
      </c>
      <c r="B15" s="33">
        <f>(B6-B12)/B14</f>
        <v>0.71228070175438596</v>
      </c>
      <c r="C15" s="4" t="s">
        <v>101</v>
      </c>
    </row>
    <row r="16" spans="1:3" ht="19" customHeight="1" x14ac:dyDescent="0.25">
      <c r="A16" s="7"/>
      <c r="B16" s="25"/>
    </row>
    <row r="17" spans="1:3" ht="19" customHeight="1" x14ac:dyDescent="0.25">
      <c r="A17" s="47" t="s">
        <v>96</v>
      </c>
      <c r="B17" s="47"/>
    </row>
    <row r="18" spans="1:3" ht="19" customHeight="1" x14ac:dyDescent="0.25">
      <c r="A18" s="7" t="s">
        <v>5</v>
      </c>
      <c r="B18" s="26">
        <f>'Income Statement'!B37/'Income Statement'!B26</f>
        <v>0.55869565217391304</v>
      </c>
      <c r="C18" t="s">
        <v>102</v>
      </c>
    </row>
    <row r="19" spans="1:3" ht="19" customHeight="1" x14ac:dyDescent="0.25">
      <c r="A19" s="7" t="s">
        <v>6</v>
      </c>
      <c r="B19" s="27">
        <f>('Income Statement'!B2+'Income Statement'!B3)/'Income Statement'!B2</f>
        <v>1.5</v>
      </c>
      <c r="C19" t="s">
        <v>103</v>
      </c>
    </row>
    <row r="20" spans="1:3" ht="19" customHeight="1" x14ac:dyDescent="0.25">
      <c r="A20" s="7" t="s">
        <v>7</v>
      </c>
      <c r="B20" s="26">
        <f>'Income Statement'!B12/'Income Statement'!B26</f>
        <v>2.1739130434782608E-2</v>
      </c>
      <c r="C20" t="s">
        <v>104</v>
      </c>
    </row>
    <row r="21" spans="1:3" ht="19" x14ac:dyDescent="0.25">
      <c r="A21" s="7" t="s">
        <v>8</v>
      </c>
      <c r="B21" s="26">
        <f>('Income Statement'!B7+'Income Statement'!B14)/'Income Statement'!B26</f>
        <v>0.38043478260869568</v>
      </c>
      <c r="C21" t="s">
        <v>105</v>
      </c>
    </row>
    <row r="22" spans="1:3" ht="19" x14ac:dyDescent="0.25">
      <c r="B22" s="18"/>
    </row>
  </sheetData>
  <mergeCells count="3">
    <mergeCell ref="A1:B1"/>
    <mergeCell ref="A2:B2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topLeftCell="A15" workbookViewId="0">
      <selection activeCell="C38" sqref="C38"/>
    </sheetView>
  </sheetViews>
  <sheetFormatPr baseColWidth="10" defaultRowHeight="15" x14ac:dyDescent="0.2"/>
  <cols>
    <col min="1" max="1" width="33" customWidth="1"/>
    <col min="2" max="2" width="17" customWidth="1"/>
    <col min="4" max="4" width="34" customWidth="1"/>
    <col min="5" max="5" width="14" customWidth="1"/>
  </cols>
  <sheetData>
    <row r="1" spans="1:3" ht="19" customHeight="1" x14ac:dyDescent="0.25">
      <c r="A1" s="5" t="s">
        <v>9</v>
      </c>
      <c r="B1" s="6"/>
    </row>
    <row r="2" spans="1:3" ht="19" customHeight="1" x14ac:dyDescent="0.25">
      <c r="A2" s="6" t="s">
        <v>10</v>
      </c>
      <c r="B2" s="17">
        <v>1200000</v>
      </c>
    </row>
    <row r="3" spans="1:3" ht="19" customHeight="1" x14ac:dyDescent="0.25">
      <c r="A3" s="6" t="s">
        <v>11</v>
      </c>
      <c r="B3" s="17">
        <v>600000</v>
      </c>
    </row>
    <row r="4" spans="1:3" ht="19" customHeight="1" x14ac:dyDescent="0.25">
      <c r="A4" s="6" t="s">
        <v>12</v>
      </c>
      <c r="B4" s="17">
        <v>400000</v>
      </c>
    </row>
    <row r="5" spans="1:3" ht="19" customHeight="1" x14ac:dyDescent="0.25">
      <c r="A5" s="6" t="s">
        <v>14</v>
      </c>
      <c r="B5" s="17">
        <v>100000</v>
      </c>
    </row>
    <row r="6" spans="1:3" ht="19" customHeight="1" x14ac:dyDescent="0.25">
      <c r="A6" s="6"/>
      <c r="B6" s="17"/>
    </row>
    <row r="7" spans="1:3" ht="19" customHeight="1" x14ac:dyDescent="0.25">
      <c r="A7" s="6" t="s">
        <v>16</v>
      </c>
      <c r="B7" s="17">
        <v>800000</v>
      </c>
      <c r="C7" s="6" t="s">
        <v>94</v>
      </c>
    </row>
    <row r="8" spans="1:3" ht="19" customHeight="1" x14ac:dyDescent="0.25">
      <c r="A8" s="6" t="s">
        <v>18</v>
      </c>
      <c r="B8" s="17">
        <v>150000</v>
      </c>
      <c r="C8" s="6" t="s">
        <v>95</v>
      </c>
    </row>
    <row r="9" spans="1:3" ht="19" customHeight="1" x14ac:dyDescent="0.25">
      <c r="A9" s="6" t="s">
        <v>20</v>
      </c>
      <c r="B9" s="17">
        <v>80000</v>
      </c>
      <c r="C9" s="6" t="s">
        <v>95</v>
      </c>
    </row>
    <row r="10" spans="1:3" ht="19" customHeight="1" x14ac:dyDescent="0.25">
      <c r="A10" s="6" t="s">
        <v>22</v>
      </c>
      <c r="B10" s="17">
        <v>60000</v>
      </c>
      <c r="C10" s="6" t="s">
        <v>95</v>
      </c>
    </row>
    <row r="11" spans="1:3" ht="19" customHeight="1" x14ac:dyDescent="0.25">
      <c r="A11" s="6" t="s">
        <v>23</v>
      </c>
      <c r="B11" s="17">
        <v>40000</v>
      </c>
      <c r="C11" s="6" t="s">
        <v>95</v>
      </c>
    </row>
    <row r="12" spans="1:3" ht="20" customHeight="1" x14ac:dyDescent="0.25">
      <c r="A12" s="6" t="s">
        <v>25</v>
      </c>
      <c r="B12" s="17">
        <v>50000</v>
      </c>
      <c r="C12" s="6" t="s">
        <v>95</v>
      </c>
    </row>
    <row r="13" spans="1:3" ht="20" customHeight="1" x14ac:dyDescent="0.25">
      <c r="A13" s="6" t="s">
        <v>26</v>
      </c>
      <c r="B13" s="17">
        <v>30000</v>
      </c>
      <c r="C13" s="6" t="s">
        <v>95</v>
      </c>
    </row>
    <row r="14" spans="1:3" ht="19" customHeight="1" x14ac:dyDescent="0.25">
      <c r="A14" s="6" t="s">
        <v>27</v>
      </c>
      <c r="B14" s="17">
        <v>75000</v>
      </c>
      <c r="C14" s="6" t="s">
        <v>94</v>
      </c>
    </row>
    <row r="15" spans="1:3" ht="19" customHeight="1" x14ac:dyDescent="0.25">
      <c r="A15" s="6"/>
      <c r="B15" s="6"/>
    </row>
    <row r="16" spans="1:3" ht="19" customHeight="1" x14ac:dyDescent="0.25">
      <c r="B16" s="1"/>
    </row>
    <row r="17" spans="1:2" ht="19" customHeight="1" x14ac:dyDescent="0.25">
      <c r="A17" s="48"/>
      <c r="B17" s="49"/>
    </row>
    <row r="18" spans="1:2" ht="19" customHeight="1" x14ac:dyDescent="0.25">
      <c r="A18" s="50" t="s">
        <v>0</v>
      </c>
      <c r="B18" s="51"/>
    </row>
    <row r="19" spans="1:2" ht="19" customHeight="1" x14ac:dyDescent="0.25">
      <c r="A19" s="52" t="s">
        <v>13</v>
      </c>
      <c r="B19" s="51"/>
    </row>
    <row r="20" spans="1:2" ht="19" customHeight="1" x14ac:dyDescent="0.25">
      <c r="A20" s="52" t="s">
        <v>15</v>
      </c>
      <c r="B20" s="51"/>
    </row>
    <row r="21" spans="1:2" ht="19" customHeight="1" x14ac:dyDescent="0.25">
      <c r="A21" s="53" t="s">
        <v>17</v>
      </c>
      <c r="B21" s="53"/>
    </row>
    <row r="22" spans="1:2" ht="19" customHeight="1" x14ac:dyDescent="0.25">
      <c r="A22" s="6" t="s">
        <v>19</v>
      </c>
      <c r="B22" s="15">
        <f>B2</f>
        <v>1200000</v>
      </c>
    </row>
    <row r="23" spans="1:2" ht="20" customHeight="1" x14ac:dyDescent="0.25">
      <c r="A23" s="6" t="s">
        <v>21</v>
      </c>
      <c r="B23" s="15">
        <f t="shared" ref="B23:B25" si="0">B3</f>
        <v>600000</v>
      </c>
    </row>
    <row r="24" spans="1:2" ht="20" customHeight="1" x14ac:dyDescent="0.25">
      <c r="A24" s="6" t="s">
        <v>12</v>
      </c>
      <c r="B24" s="15">
        <f t="shared" si="0"/>
        <v>400000</v>
      </c>
    </row>
    <row r="25" spans="1:2" ht="19" customHeight="1" x14ac:dyDescent="0.25">
      <c r="A25" s="6" t="s">
        <v>24</v>
      </c>
      <c r="B25" s="15">
        <f t="shared" si="0"/>
        <v>100000</v>
      </c>
    </row>
    <row r="26" spans="1:2" ht="19" customHeight="1" x14ac:dyDescent="0.25">
      <c r="A26" s="13" t="s">
        <v>83</v>
      </c>
      <c r="B26" s="22">
        <f>SUM(B22:B25)</f>
        <v>2300000</v>
      </c>
    </row>
    <row r="27" spans="1:2" ht="19" customHeight="1" x14ac:dyDescent="0.25">
      <c r="A27" s="6"/>
      <c r="B27" s="17"/>
    </row>
    <row r="28" spans="1:2" ht="19" customHeight="1" x14ac:dyDescent="0.25">
      <c r="A28" s="53" t="s">
        <v>28</v>
      </c>
      <c r="B28" s="53"/>
    </row>
    <row r="29" spans="1:2" ht="19" customHeight="1" x14ac:dyDescent="0.25">
      <c r="A29" s="6" t="s">
        <v>29</v>
      </c>
      <c r="B29" s="15">
        <f>B7</f>
        <v>800000</v>
      </c>
    </row>
    <row r="30" spans="1:2" ht="19" customHeight="1" x14ac:dyDescent="0.25">
      <c r="A30" s="6" t="s">
        <v>18</v>
      </c>
      <c r="B30" s="15">
        <f t="shared" ref="B30:B36" si="1">B8</f>
        <v>150000</v>
      </c>
    </row>
    <row r="31" spans="1:2" ht="19" customHeight="1" x14ac:dyDescent="0.25">
      <c r="A31" s="6" t="s">
        <v>20</v>
      </c>
      <c r="B31" s="15">
        <f t="shared" si="1"/>
        <v>80000</v>
      </c>
    </row>
    <row r="32" spans="1:2" ht="19" customHeight="1" x14ac:dyDescent="0.25">
      <c r="A32" s="6" t="s">
        <v>22</v>
      </c>
      <c r="B32" s="15">
        <f t="shared" si="1"/>
        <v>60000</v>
      </c>
    </row>
    <row r="33" spans="1:3" ht="19" customHeight="1" x14ac:dyDescent="0.25">
      <c r="A33" s="6" t="s">
        <v>23</v>
      </c>
      <c r="B33" s="15">
        <f t="shared" si="1"/>
        <v>40000</v>
      </c>
    </row>
    <row r="34" spans="1:3" ht="19" customHeight="1" x14ac:dyDescent="0.25">
      <c r="A34" s="6" t="s">
        <v>25</v>
      </c>
      <c r="B34" s="15">
        <f t="shared" si="1"/>
        <v>50000</v>
      </c>
    </row>
    <row r="35" spans="1:3" ht="19" customHeight="1" x14ac:dyDescent="0.25">
      <c r="A35" s="6" t="s">
        <v>26</v>
      </c>
      <c r="B35" s="15">
        <f t="shared" si="1"/>
        <v>30000</v>
      </c>
    </row>
    <row r="36" spans="1:3" ht="19" customHeight="1" x14ac:dyDescent="0.25">
      <c r="A36" s="6" t="s">
        <v>27</v>
      </c>
      <c r="B36" s="15">
        <f t="shared" si="1"/>
        <v>75000</v>
      </c>
    </row>
    <row r="37" spans="1:3" ht="19" customHeight="1" x14ac:dyDescent="0.25">
      <c r="A37" s="13" t="s">
        <v>84</v>
      </c>
      <c r="B37" s="22">
        <f>SUM(B29:B36)</f>
        <v>1285000</v>
      </c>
    </row>
    <row r="38" spans="1:3" ht="19" customHeight="1" x14ac:dyDescent="0.25">
      <c r="A38" s="6"/>
      <c r="B38" s="17"/>
    </row>
    <row r="39" spans="1:3" ht="19" customHeight="1" thickBot="1" x14ac:dyDescent="0.3">
      <c r="A39" s="37" t="s">
        <v>82</v>
      </c>
      <c r="B39" s="16">
        <f>B26-B37</f>
        <v>1015000</v>
      </c>
    </row>
    <row r="40" spans="1:3" ht="19" customHeight="1" thickTop="1" x14ac:dyDescent="0.25">
      <c r="A40" s="37" t="s">
        <v>81</v>
      </c>
      <c r="B40" s="14">
        <f>B39/B26</f>
        <v>0.44130434782608696</v>
      </c>
      <c r="C40" t="s">
        <v>106</v>
      </c>
    </row>
  </sheetData>
  <mergeCells count="6">
    <mergeCell ref="A17:B17"/>
    <mergeCell ref="A18:B18"/>
    <mergeCell ref="A19:B19"/>
    <mergeCell ref="A20:B20"/>
    <mergeCell ref="A28:B28"/>
    <mergeCell ref="A21:B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6"/>
  <sheetViews>
    <sheetView zoomScale="76" workbookViewId="0">
      <selection activeCell="E39" sqref="E39"/>
    </sheetView>
  </sheetViews>
  <sheetFormatPr baseColWidth="10" defaultColWidth="8.83203125" defaultRowHeight="15" x14ac:dyDescent="0.2"/>
  <cols>
    <col min="1" max="1" width="46.33203125" customWidth="1"/>
    <col min="2" max="2" width="18" customWidth="1"/>
    <col min="4" max="4" width="10.1640625" bestFit="1" customWidth="1"/>
  </cols>
  <sheetData>
    <row r="1" spans="1:4" ht="19" customHeight="1" x14ac:dyDescent="0.25">
      <c r="A1" s="46" t="s">
        <v>0</v>
      </c>
      <c r="B1" s="49"/>
    </row>
    <row r="2" spans="1:4" ht="19" customHeight="1" x14ac:dyDescent="0.25">
      <c r="A2" s="46" t="s">
        <v>30</v>
      </c>
      <c r="B2" s="49"/>
    </row>
    <row r="3" spans="1:4" ht="19" customHeight="1" x14ac:dyDescent="0.25">
      <c r="A3" s="57" t="s">
        <v>31</v>
      </c>
      <c r="B3" s="49"/>
    </row>
    <row r="4" spans="1:4" ht="19" customHeight="1" x14ac:dyDescent="0.25">
      <c r="A4" s="47" t="s">
        <v>88</v>
      </c>
      <c r="B4" s="54"/>
    </row>
    <row r="5" spans="1:4" ht="19" customHeight="1" x14ac:dyDescent="0.25">
      <c r="A5" s="9" t="s">
        <v>32</v>
      </c>
      <c r="B5" s="8"/>
    </row>
    <row r="6" spans="1:4" ht="19" customHeight="1" x14ac:dyDescent="0.25">
      <c r="A6" s="20" t="s">
        <v>33</v>
      </c>
      <c r="B6" s="20">
        <v>750000</v>
      </c>
      <c r="D6" s="2"/>
    </row>
    <row r="7" spans="1:4" ht="19" customHeight="1" x14ac:dyDescent="0.25">
      <c r="A7" s="20" t="s">
        <v>34</v>
      </c>
      <c r="B7" s="20">
        <v>150000</v>
      </c>
      <c r="C7" s="2"/>
    </row>
    <row r="8" spans="1:4" ht="19" customHeight="1" x14ac:dyDescent="0.25">
      <c r="A8" s="20" t="s">
        <v>35</v>
      </c>
      <c r="B8" s="20">
        <v>160000</v>
      </c>
    </row>
    <row r="9" spans="1:4" ht="19" customHeight="1" x14ac:dyDescent="0.25">
      <c r="A9" s="20" t="s">
        <v>36</v>
      </c>
      <c r="B9" s="20">
        <f>75000</f>
        <v>75000</v>
      </c>
    </row>
    <row r="10" spans="1:4" ht="19" customHeight="1" x14ac:dyDescent="0.25">
      <c r="A10" s="29" t="s">
        <v>37</v>
      </c>
      <c r="B10" s="34">
        <f>SUM(B6:B9)</f>
        <v>1135000</v>
      </c>
    </row>
    <row r="11" spans="1:4" ht="19" customHeight="1" x14ac:dyDescent="0.25">
      <c r="A11" s="20"/>
      <c r="B11" s="20"/>
    </row>
    <row r="12" spans="1:4" ht="19" customHeight="1" x14ac:dyDescent="0.25">
      <c r="A12" s="36" t="s">
        <v>38</v>
      </c>
      <c r="B12" s="20"/>
    </row>
    <row r="13" spans="1:4" ht="19" customHeight="1" x14ac:dyDescent="0.25">
      <c r="A13" s="20" t="s">
        <v>39</v>
      </c>
      <c r="B13" s="20">
        <f>500000+5000</f>
        <v>505000</v>
      </c>
    </row>
    <row r="14" spans="1:4" ht="19" customHeight="1" x14ac:dyDescent="0.25">
      <c r="A14" s="20" t="s">
        <v>40</v>
      </c>
      <c r="B14" s="20">
        <v>-180000</v>
      </c>
    </row>
    <row r="15" spans="1:4" ht="19" customHeight="1" x14ac:dyDescent="0.25">
      <c r="A15" s="29" t="s">
        <v>41</v>
      </c>
      <c r="B15" s="34">
        <f>SUM(B13:B14)</f>
        <v>325000</v>
      </c>
    </row>
    <row r="16" spans="1:4" ht="19" customHeight="1" x14ac:dyDescent="0.25">
      <c r="A16" s="20"/>
      <c r="B16" s="20"/>
    </row>
    <row r="17" spans="1:3" ht="19" customHeight="1" x14ac:dyDescent="0.25">
      <c r="A17" s="36" t="s">
        <v>42</v>
      </c>
      <c r="B17" s="20"/>
    </row>
    <row r="18" spans="1:3" ht="19" customHeight="1" x14ac:dyDescent="0.25">
      <c r="A18" s="20" t="s">
        <v>43</v>
      </c>
      <c r="B18" s="20">
        <v>120000</v>
      </c>
    </row>
    <row r="19" spans="1:3" ht="19" customHeight="1" x14ac:dyDescent="0.25">
      <c r="A19" s="20" t="s">
        <v>44</v>
      </c>
      <c r="B19" s="20">
        <f>470000</f>
        <v>470000</v>
      </c>
      <c r="C19" s="4"/>
    </row>
    <row r="20" spans="1:3" ht="19" customHeight="1" x14ac:dyDescent="0.25">
      <c r="A20" s="29" t="s">
        <v>45</v>
      </c>
      <c r="B20" s="34">
        <f>SUM(B18:B19)</f>
        <v>590000</v>
      </c>
    </row>
    <row r="21" spans="1:3" ht="19" customHeight="1" x14ac:dyDescent="0.25">
      <c r="A21" s="29"/>
      <c r="B21" s="20"/>
    </row>
    <row r="22" spans="1:3" ht="20" customHeight="1" thickBot="1" x14ac:dyDescent="0.3">
      <c r="A22" s="38" t="s">
        <v>89</v>
      </c>
      <c r="B22" s="35">
        <f>B10+B15+B20</f>
        <v>2050000</v>
      </c>
    </row>
    <row r="23" spans="1:3" ht="20" customHeight="1" thickTop="1" x14ac:dyDescent="0.25">
      <c r="A23" s="20"/>
      <c r="B23" s="20"/>
    </row>
    <row r="24" spans="1:3" ht="19" customHeight="1" x14ac:dyDescent="0.25">
      <c r="A24" s="55" t="s">
        <v>93</v>
      </c>
      <c r="B24" s="56"/>
    </row>
    <row r="25" spans="1:3" ht="19" customHeight="1" x14ac:dyDescent="0.25">
      <c r="A25" s="36" t="s">
        <v>46</v>
      </c>
      <c r="B25" s="20"/>
    </row>
    <row r="26" spans="1:3" ht="19" customHeight="1" x14ac:dyDescent="0.25">
      <c r="A26" s="20" t="s">
        <v>47</v>
      </c>
      <c r="B26" s="20">
        <v>125000</v>
      </c>
    </row>
    <row r="27" spans="1:3" ht="19" customHeight="1" x14ac:dyDescent="0.25">
      <c r="A27" s="20" t="s">
        <v>48</v>
      </c>
      <c r="B27" s="20">
        <v>150000</v>
      </c>
    </row>
    <row r="28" spans="1:3" ht="19" customHeight="1" x14ac:dyDescent="0.25">
      <c r="A28" s="20" t="s">
        <v>49</v>
      </c>
      <c r="B28" s="20">
        <v>20000</v>
      </c>
    </row>
    <row r="29" spans="1:3" ht="19" customHeight="1" x14ac:dyDescent="0.25">
      <c r="A29" s="29" t="s">
        <v>50</v>
      </c>
      <c r="B29" s="34">
        <f>SUM(B26:B28)</f>
        <v>295000</v>
      </c>
    </row>
    <row r="30" spans="1:3" ht="19" customHeight="1" x14ac:dyDescent="0.25">
      <c r="A30" s="20"/>
      <c r="B30" s="20"/>
    </row>
    <row r="31" spans="1:3" ht="19" customHeight="1" x14ac:dyDescent="0.25">
      <c r="A31" s="36" t="s">
        <v>51</v>
      </c>
      <c r="B31" s="20"/>
    </row>
    <row r="32" spans="1:3" ht="19" customHeight="1" x14ac:dyDescent="0.25">
      <c r="A32" s="20" t="s">
        <v>52</v>
      </c>
      <c r="B32" s="20">
        <v>140000</v>
      </c>
    </row>
    <row r="33" spans="1:2" ht="19" customHeight="1" x14ac:dyDescent="0.25">
      <c r="A33" s="20"/>
      <c r="B33" s="20"/>
    </row>
    <row r="34" spans="1:2" ht="20" customHeight="1" thickBot="1" x14ac:dyDescent="0.3">
      <c r="A34" s="29" t="s">
        <v>90</v>
      </c>
      <c r="B34" s="35">
        <f>B29+B32</f>
        <v>435000</v>
      </c>
    </row>
    <row r="35" spans="1:2" ht="20" customHeight="1" thickTop="1" x14ac:dyDescent="0.25">
      <c r="A35" s="20"/>
      <c r="B35" s="20"/>
    </row>
    <row r="36" spans="1:2" ht="19" customHeight="1" x14ac:dyDescent="0.25">
      <c r="A36" s="55" t="s">
        <v>53</v>
      </c>
      <c r="B36" s="56"/>
    </row>
    <row r="37" spans="1:2" ht="19" customHeight="1" x14ac:dyDescent="0.25">
      <c r="A37" s="20" t="s">
        <v>54</v>
      </c>
      <c r="B37" s="20">
        <v>600000</v>
      </c>
    </row>
    <row r="38" spans="1:2" ht="19" customHeight="1" x14ac:dyDescent="0.25">
      <c r="A38" s="20" t="s">
        <v>55</v>
      </c>
      <c r="B38" s="20">
        <f>'Income Statement'!B39</f>
        <v>1015000</v>
      </c>
    </row>
    <row r="39" spans="1:2" ht="19" customHeight="1" x14ac:dyDescent="0.25">
      <c r="A39" s="20"/>
      <c r="B39" s="20"/>
    </row>
    <row r="40" spans="1:2" ht="19" customHeight="1" x14ac:dyDescent="0.25">
      <c r="A40" s="39" t="s">
        <v>91</v>
      </c>
      <c r="B40" s="34">
        <f>B37+B38</f>
        <v>1615000</v>
      </c>
    </row>
    <row r="41" spans="1:2" ht="19" customHeight="1" x14ac:dyDescent="0.25">
      <c r="A41" s="29"/>
      <c r="B41" s="20"/>
    </row>
    <row r="42" spans="1:2" ht="19" customHeight="1" thickBot="1" x14ac:dyDescent="0.3">
      <c r="A42" s="38" t="s">
        <v>92</v>
      </c>
      <c r="B42" s="35">
        <f>B34+B40</f>
        <v>2050000</v>
      </c>
    </row>
    <row r="43" spans="1:2" ht="19" customHeight="1" thickTop="1" x14ac:dyDescent="0.25">
      <c r="A43" s="10"/>
      <c r="B43" s="11"/>
    </row>
    <row r="44" spans="1:2" ht="20" customHeight="1" x14ac:dyDescent="0.25">
      <c r="A44" s="7"/>
      <c r="B44" s="12"/>
    </row>
    <row r="45" spans="1:2" ht="20" customHeight="1" x14ac:dyDescent="0.2"/>
    <row r="46" spans="1:2" ht="19" customHeight="1" x14ac:dyDescent="0.2">
      <c r="B46" s="3"/>
    </row>
  </sheetData>
  <mergeCells count="6">
    <mergeCell ref="A4:B4"/>
    <mergeCell ref="A24:B24"/>
    <mergeCell ref="A2:B2"/>
    <mergeCell ref="A36:B36"/>
    <mergeCell ref="A1:B1"/>
    <mergeCell ref="A3:B3"/>
  </mergeCell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>
      <selection activeCell="G39" sqref="G39"/>
    </sheetView>
  </sheetViews>
  <sheetFormatPr baseColWidth="10" defaultColWidth="8.83203125" defaultRowHeight="15" x14ac:dyDescent="0.2"/>
  <cols>
    <col min="1" max="1" width="44.83203125" customWidth="1"/>
    <col min="2" max="2" width="19.1640625" customWidth="1"/>
  </cols>
  <sheetData>
    <row r="1" spans="1:2" ht="19" customHeight="1" x14ac:dyDescent="0.25">
      <c r="A1" s="48" t="s">
        <v>0</v>
      </c>
      <c r="B1" s="49"/>
    </row>
    <row r="2" spans="1:2" ht="19" customHeight="1" x14ac:dyDescent="0.25">
      <c r="A2" s="48" t="s">
        <v>56</v>
      </c>
      <c r="B2" s="49"/>
    </row>
    <row r="3" spans="1:2" ht="19" customHeight="1" x14ac:dyDescent="0.25">
      <c r="A3" s="52" t="s">
        <v>57</v>
      </c>
      <c r="B3" s="49"/>
    </row>
    <row r="4" spans="1:2" ht="19" customHeight="1" x14ac:dyDescent="0.25">
      <c r="A4" s="59" t="s">
        <v>58</v>
      </c>
      <c r="B4" s="54"/>
    </row>
    <row r="5" spans="1:2" ht="19" customHeight="1" x14ac:dyDescent="0.25">
      <c r="A5" s="20" t="s">
        <v>59</v>
      </c>
      <c r="B5" s="28">
        <f>'Income Statement'!B39</f>
        <v>1015000</v>
      </c>
    </row>
    <row r="6" spans="1:2" ht="19" customHeight="1" x14ac:dyDescent="0.25">
      <c r="A6" s="20"/>
      <c r="B6" s="17"/>
    </row>
    <row r="7" spans="1:2" ht="19" customHeight="1" x14ac:dyDescent="0.25">
      <c r="A7" s="29" t="s">
        <v>60</v>
      </c>
      <c r="B7" s="17"/>
    </row>
    <row r="8" spans="1:2" ht="19" customHeight="1" x14ac:dyDescent="0.25">
      <c r="A8" s="20" t="s">
        <v>61</v>
      </c>
      <c r="B8" s="28">
        <v>20000</v>
      </c>
    </row>
    <row r="9" spans="1:2" ht="19" customHeight="1" x14ac:dyDescent="0.25">
      <c r="A9" s="20" t="s">
        <v>62</v>
      </c>
      <c r="B9" s="28">
        <v>-15000</v>
      </c>
    </row>
    <row r="10" spans="1:2" ht="19" customHeight="1" x14ac:dyDescent="0.25">
      <c r="A10" s="20" t="s">
        <v>63</v>
      </c>
      <c r="B10" s="28">
        <v>-25000</v>
      </c>
    </row>
    <row r="11" spans="1:2" ht="19" customHeight="1" x14ac:dyDescent="0.25">
      <c r="A11" s="20" t="s">
        <v>64</v>
      </c>
      <c r="B11" s="28">
        <v>5000</v>
      </c>
    </row>
    <row r="12" spans="1:2" ht="19" customHeight="1" x14ac:dyDescent="0.25">
      <c r="A12" s="20" t="s">
        <v>65</v>
      </c>
      <c r="B12" s="28">
        <v>10000</v>
      </c>
    </row>
    <row r="13" spans="1:2" ht="19" customHeight="1" x14ac:dyDescent="0.25">
      <c r="A13" s="20" t="s">
        <v>66</v>
      </c>
      <c r="B13" s="28">
        <v>5000</v>
      </c>
    </row>
    <row r="14" spans="1:2" ht="20" customHeight="1" x14ac:dyDescent="0.25">
      <c r="A14" s="38" t="s">
        <v>67</v>
      </c>
      <c r="B14" s="42">
        <f>B5+SUM(B8:B13)</f>
        <v>1015000</v>
      </c>
    </row>
    <row r="15" spans="1:2" ht="20" customHeight="1" x14ac:dyDescent="0.25">
      <c r="A15" s="17"/>
      <c r="B15" s="17"/>
    </row>
    <row r="16" spans="1:2" ht="19" customHeight="1" x14ac:dyDescent="0.25">
      <c r="A16" s="58" t="s">
        <v>68</v>
      </c>
      <c r="B16" s="56"/>
    </row>
    <row r="17" spans="1:3" ht="19" customHeight="1" x14ac:dyDescent="0.25">
      <c r="A17" s="17" t="s">
        <v>69</v>
      </c>
      <c r="B17" s="28">
        <v>-75000</v>
      </c>
    </row>
    <row r="18" spans="1:3" ht="19" customHeight="1" x14ac:dyDescent="0.25">
      <c r="A18" s="17" t="s">
        <v>70</v>
      </c>
      <c r="B18" s="28">
        <v>-50000</v>
      </c>
    </row>
    <row r="19" spans="1:3" ht="19" customHeight="1" x14ac:dyDescent="0.25">
      <c r="A19" s="17" t="s">
        <v>71</v>
      </c>
      <c r="B19" s="28">
        <v>5000</v>
      </c>
    </row>
    <row r="20" spans="1:3" ht="20" customHeight="1" x14ac:dyDescent="0.25">
      <c r="A20" s="40" t="s">
        <v>72</v>
      </c>
      <c r="B20" s="42">
        <f>SUM(B17:B19)</f>
        <v>-120000</v>
      </c>
    </row>
    <row r="21" spans="1:3" ht="20" customHeight="1" x14ac:dyDescent="0.25">
      <c r="A21" s="17"/>
      <c r="B21" s="17"/>
    </row>
    <row r="22" spans="1:3" ht="19" customHeight="1" x14ac:dyDescent="0.25">
      <c r="A22" s="58" t="s">
        <v>73</v>
      </c>
      <c r="B22" s="56"/>
    </row>
    <row r="23" spans="1:3" ht="19" customHeight="1" x14ac:dyDescent="0.25">
      <c r="A23" s="17" t="s">
        <v>74</v>
      </c>
      <c r="B23" s="28">
        <v>100000</v>
      </c>
    </row>
    <row r="24" spans="1:3" ht="19" customHeight="1" x14ac:dyDescent="0.25">
      <c r="A24" s="17" t="s">
        <v>75</v>
      </c>
      <c r="B24" s="28">
        <v>-25000</v>
      </c>
    </row>
    <row r="25" spans="1:3" ht="19" customHeight="1" x14ac:dyDescent="0.25">
      <c r="A25" s="17" t="s">
        <v>76</v>
      </c>
      <c r="B25" s="28">
        <v>50000</v>
      </c>
    </row>
    <row r="26" spans="1:3" ht="20" customHeight="1" x14ac:dyDescent="0.25">
      <c r="A26" s="40" t="s">
        <v>77</v>
      </c>
      <c r="B26" s="42">
        <f>SUM(B23:B25)</f>
        <v>125000</v>
      </c>
    </row>
    <row r="27" spans="1:3" ht="20" customHeight="1" x14ac:dyDescent="0.25">
      <c r="A27" s="41"/>
      <c r="B27" s="17"/>
    </row>
    <row r="28" spans="1:3" ht="19" customHeight="1" thickBot="1" x14ac:dyDescent="0.3">
      <c r="A28" s="21" t="s">
        <v>78</v>
      </c>
      <c r="B28" s="30">
        <f>B14+B20+B26</f>
        <v>1020000</v>
      </c>
      <c r="C28" t="s">
        <v>107</v>
      </c>
    </row>
    <row r="29" spans="1:3" ht="19" customHeight="1" thickTop="1" x14ac:dyDescent="0.25">
      <c r="A29" s="17"/>
      <c r="B29" s="17"/>
    </row>
    <row r="30" spans="1:3" ht="19" customHeight="1" x14ac:dyDescent="0.25">
      <c r="A30" s="17" t="s">
        <v>79</v>
      </c>
      <c r="B30" s="28">
        <v>300000</v>
      </c>
    </row>
    <row r="31" spans="1:3" ht="19" customHeight="1" thickBot="1" x14ac:dyDescent="0.3">
      <c r="A31" s="40" t="s">
        <v>80</v>
      </c>
      <c r="B31" s="43">
        <f>B30+B28</f>
        <v>1320000</v>
      </c>
      <c r="C31" t="s">
        <v>108</v>
      </c>
    </row>
    <row r="32" spans="1:3" ht="16" thickTop="1" x14ac:dyDescent="0.2"/>
  </sheetData>
  <mergeCells count="6">
    <mergeCell ref="A22:B22"/>
    <mergeCell ref="A4:B4"/>
    <mergeCell ref="A2:B2"/>
    <mergeCell ref="A16:B16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 Model</vt:lpstr>
      <vt:lpstr>Income Statement</vt:lpstr>
      <vt:lpstr>Balance Sheet</vt:lpstr>
      <vt:lpstr>Cash 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Arushi Seth</cp:lastModifiedBy>
  <dcterms:created xsi:type="dcterms:W3CDTF">2026-06-29T21:21:14Z</dcterms:created>
  <dcterms:modified xsi:type="dcterms:W3CDTF">2026-07-05T00:11:28Z</dcterms:modified>
</cp:coreProperties>
</file>