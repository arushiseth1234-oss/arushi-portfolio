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xr:revisionPtr revIDLastSave="0" documentId="8_{75596F5D-9EC6-CE43-9C78-FC1E580E7FEE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Dashboard" sheetId="1" r:id="rId1"/>
    <sheet name="Revenue" sheetId="2" r:id="rId2"/>
    <sheet name="Expenses" sheetId="3" r:id="rId3"/>
    <sheet name="Programs" sheetId="4" r:id="rId4"/>
    <sheet name="Monthly Track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C9" i="4"/>
  <c r="B17" i="1" s="1"/>
  <c r="B9" i="4"/>
  <c r="F7" i="4"/>
  <c r="E7" i="4"/>
  <c r="F6" i="4"/>
  <c r="E6" i="4"/>
  <c r="F5" i="4"/>
  <c r="E5" i="4"/>
  <c r="F4" i="4"/>
  <c r="E4" i="4"/>
  <c r="C9" i="2"/>
  <c r="B9" i="2"/>
  <c r="B5" i="1" s="1"/>
  <c r="D7" i="2"/>
  <c r="D6" i="2"/>
  <c r="D5" i="2"/>
  <c r="D4" i="2"/>
  <c r="B6" i="1"/>
  <c r="C8" i="5" s="1"/>
  <c r="C14" i="3"/>
  <c r="E14" i="3" s="1"/>
  <c r="B14" i="3"/>
  <c r="D14" i="3" s="1"/>
  <c r="E11" i="3"/>
  <c r="F11" i="3" s="1"/>
  <c r="D11" i="3"/>
  <c r="F10" i="3"/>
  <c r="E10" i="3"/>
  <c r="D10" i="3"/>
  <c r="E9" i="3"/>
  <c r="F9" i="3" s="1"/>
  <c r="D9" i="3"/>
  <c r="E8" i="3"/>
  <c r="F8" i="3" s="1"/>
  <c r="D8" i="3"/>
  <c r="E7" i="3"/>
  <c r="F7" i="3" s="1"/>
  <c r="D7" i="3"/>
  <c r="E6" i="3"/>
  <c r="F6" i="3" s="1"/>
  <c r="D6" i="3"/>
  <c r="E5" i="3"/>
  <c r="F5" i="3" s="1"/>
  <c r="D5" i="3"/>
  <c r="E4" i="3"/>
  <c r="F4" i="3" s="1"/>
  <c r="D4" i="3"/>
  <c r="B14" i="5" l="1"/>
  <c r="B9" i="5"/>
  <c r="B4" i="5"/>
  <c r="D5" i="1"/>
  <c r="B11" i="5"/>
  <c r="B6" i="5"/>
  <c r="B13" i="1"/>
  <c r="B16" i="1"/>
  <c r="B14" i="1"/>
  <c r="B13" i="5"/>
  <c r="D13" i="5" s="1"/>
  <c r="B8" i="5"/>
  <c r="D8" i="5" s="1"/>
  <c r="B15" i="5"/>
  <c r="B10" i="5"/>
  <c r="B5" i="5"/>
  <c r="B7" i="1"/>
  <c r="B12" i="5"/>
  <c r="D12" i="5" s="1"/>
  <c r="B7" i="5"/>
  <c r="C9" i="5"/>
  <c r="D6" i="1"/>
  <c r="C7" i="5"/>
  <c r="C12" i="5"/>
  <c r="C5" i="5"/>
  <c r="C10" i="5"/>
  <c r="C15" i="5"/>
  <c r="D9" i="2"/>
  <c r="C13" i="5"/>
  <c r="E9" i="4"/>
  <c r="C6" i="5"/>
  <c r="C11" i="5"/>
  <c r="C4" i="5"/>
  <c r="C16" i="5" s="1"/>
  <c r="C14" i="5"/>
  <c r="D6" i="5" l="1"/>
  <c r="D7" i="5"/>
  <c r="D7" i="1"/>
  <c r="B8" i="1"/>
  <c r="D8" i="1" s="1"/>
  <c r="D11" i="5"/>
  <c r="D5" i="5"/>
  <c r="D10" i="5"/>
  <c r="B16" i="5"/>
  <c r="D4" i="5"/>
  <c r="D15" i="5"/>
  <c r="D9" i="5"/>
  <c r="D14" i="5"/>
  <c r="D16" i="5" l="1"/>
  <c r="E4" i="5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</calcChain>
</file>

<file path=xl/sharedStrings.xml><?xml version="1.0" encoding="utf-8"?>
<sst xmlns="http://schemas.openxmlformats.org/spreadsheetml/2006/main" count="93" uniqueCount="86">
  <si>
    <t>CALGARY FOOD BANK - FINANCIAL DASHBOARD</t>
  </si>
  <si>
    <t>FY2024 Financial Summary</t>
  </si>
  <si>
    <t>Metric</t>
  </si>
  <si>
    <t>Current</t>
  </si>
  <si>
    <t>Budget</t>
  </si>
  <si>
    <t>Variance</t>
  </si>
  <si>
    <t>Status</t>
  </si>
  <si>
    <t>Total Revenue</t>
  </si>
  <si>
    <t>On Track</t>
  </si>
  <si>
    <t>Total Expenses</t>
  </si>
  <si>
    <t>Under Budget</t>
  </si>
  <si>
    <t>Net Surplus</t>
  </si>
  <si>
    <t>Excellent</t>
  </si>
  <si>
    <t>Operating Margin</t>
  </si>
  <si>
    <t>Strong</t>
  </si>
  <si>
    <t>KEY PERFORMANCE INDICATORS</t>
  </si>
  <si>
    <t>KPI</t>
  </si>
  <si>
    <t>Target</t>
  </si>
  <si>
    <t>Assessment</t>
  </si>
  <si>
    <t>Program Expense Ratio</t>
  </si>
  <si>
    <t>Conservative</t>
  </si>
  <si>
    <t>Admin Expense Ratio</t>
  </si>
  <si>
    <t>Break-Even Revenue</t>
  </si>
  <si>
    <t>Strong Buffer</t>
  </si>
  <si>
    <t>Safety Margin %</t>
  </si>
  <si>
    <t>Very Strong</t>
  </si>
  <si>
    <t>Cost per Beneficiary</t>
  </si>
  <si>
    <t>REVENUE TRACKING - FY2024</t>
  </si>
  <si>
    <t>Revenue Source</t>
  </si>
  <si>
    <t>YTD</t>
  </si>
  <si>
    <t>% of Goal</t>
  </si>
  <si>
    <t>Trend</t>
  </si>
  <si>
    <t>Monetary Donations</t>
  </si>
  <si>
    <t>↑ Growing</t>
  </si>
  <si>
    <t>In-Kind Donations</t>
  </si>
  <si>
    <t>↑ Strong</t>
  </si>
  <si>
    <t>Government Grants</t>
  </si>
  <si>
    <t>→ On Track</t>
  </si>
  <si>
    <t>Other Revenue</t>
  </si>
  <si>
    <t>↓ Monitor</t>
  </si>
  <si>
    <t>TOTAL REVENUE</t>
  </si>
  <si>
    <t>EXPENSE TRACKING - FY2024</t>
  </si>
  <si>
    <t>Category</t>
  </si>
  <si>
    <t>Budgeted</t>
  </si>
  <si>
    <t>Actual YTD</t>
  </si>
  <si>
    <t>Remaining</t>
  </si>
  <si>
    <t>% Used</t>
  </si>
  <si>
    <t>Staff Salaries &amp; Benefits</t>
  </si>
  <si>
    <t>Facility Rent/Lease</t>
  </si>
  <si>
    <t>Utilities &amp; Maintenance</t>
  </si>
  <si>
    <t>Vehicles &amp; Transportation</t>
  </si>
  <si>
    <t>Technology &amp; Systems</t>
  </si>
  <si>
    <t>Admin &amp; Office</t>
  </si>
  <si>
    <t>Marketing &amp; Outreach</t>
  </si>
  <si>
    <t>Food Storage &amp; Distribution</t>
  </si>
  <si>
    <t>TOTAL EXPENSES</t>
  </si>
  <si>
    <t>PROGRAM ALLOCATION &amp; IMPACT</t>
  </si>
  <si>
    <t>Program</t>
  </si>
  <si>
    <t>Spending</t>
  </si>
  <si>
    <t>YTD Served</t>
  </si>
  <si>
    <t>Cost/Beneficiary</t>
  </si>
  <si>
    <t>% Complete</t>
  </si>
  <si>
    <t>Emergency Food Hampers</t>
  </si>
  <si>
    <t>Community Kitchen Programs</t>
  </si>
  <si>
    <t>Youth &amp; Nutrition Education</t>
  </si>
  <si>
    <t>Seniors Support Initiative</t>
  </si>
  <si>
    <t>TOTAL PROGRAMS</t>
  </si>
  <si>
    <t>MONTHLY FINANCIAL TRACKING</t>
  </si>
  <si>
    <t>Month</t>
  </si>
  <si>
    <t>Revenue</t>
  </si>
  <si>
    <t>Expenses</t>
  </si>
  <si>
    <t>Surplus</t>
  </si>
  <si>
    <t>Cumulative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</si>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</sst>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"/>
    <numFmt numFmtId="165" formatCode="0.0%"/>
    <numFmt numFmtId="166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 (Body)"/>
    </font>
    <font>
      <sz val="11"/>
      <color theme="1"/>
      <name val="Calibri (Body)"/>
    </font>
    <font>
      <b/>
      <sz val="11"/>
      <color theme="1"/>
      <name val="Calibri (Body)"/>
    </font>
    <font>
      <b/>
      <sz val="12"/>
      <color theme="1"/>
      <name val="Calibri (Body)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2" applyFont="1"/>
    <xf numFmtId="44" fontId="0" fillId="0" borderId="0" xfId="1" applyFont="1"/>
    <xf numFmtId="166" fontId="0" fillId="0" borderId="0" xfId="1" applyNumberFormat="1" applyFont="1"/>
    <xf numFmtId="0" fontId="4" fillId="0" borderId="0" xfId="0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9" fontId="4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  <xf numFmtId="0" fontId="7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sqref="A1:E17"/>
    </sheetView>
  </sheetViews>
  <sheetFormatPr baseColWidth="10" defaultColWidth="8.83203125" defaultRowHeight="15" x14ac:dyDescent="0.2"/>
  <cols>
    <col min="1" max="1" width="26.5" customWidth="1"/>
    <col min="2" max="5" width="18" customWidth="1"/>
  </cols>
  <sheetData>
    <row r="1" spans="1:5" ht="19" x14ac:dyDescent="0.25">
      <c r="A1" s="17" t="s">
        <v>0</v>
      </c>
      <c r="B1" s="17"/>
      <c r="C1" s="17"/>
      <c r="D1" s="17"/>
      <c r="E1" s="17"/>
    </row>
    <row r="3" spans="1:5" x14ac:dyDescent="0.2">
      <c r="A3" s="6" t="s">
        <v>1</v>
      </c>
      <c r="B3" s="7"/>
      <c r="C3" s="7"/>
      <c r="D3" s="7"/>
      <c r="E3" s="7"/>
    </row>
    <row r="4" spans="1:5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5" x14ac:dyDescent="0.2">
      <c r="A5" s="7" t="s">
        <v>7</v>
      </c>
      <c r="B5" s="8">
        <f>Revenue!B9</f>
        <v>2300000</v>
      </c>
      <c r="C5" s="8">
        <v>2250000</v>
      </c>
      <c r="D5" s="8">
        <f>B5-C5</f>
        <v>50000</v>
      </c>
      <c r="E5" s="7" t="s">
        <v>8</v>
      </c>
    </row>
    <row r="6" spans="1:5" x14ac:dyDescent="0.2">
      <c r="A6" s="7" t="s">
        <v>9</v>
      </c>
      <c r="B6" s="8">
        <f>Expenses!B14</f>
        <v>1285000</v>
      </c>
      <c r="C6" s="8">
        <v>1350000</v>
      </c>
      <c r="D6" s="8">
        <f>B6-C6</f>
        <v>-65000</v>
      </c>
      <c r="E6" s="7" t="s">
        <v>10</v>
      </c>
    </row>
    <row r="7" spans="1:5" x14ac:dyDescent="0.2">
      <c r="A7" s="7" t="s">
        <v>11</v>
      </c>
      <c r="B7" s="9">
        <f>B5-B6</f>
        <v>1015000</v>
      </c>
      <c r="C7" s="8">
        <v>900000</v>
      </c>
      <c r="D7" s="8">
        <f>B7-C7</f>
        <v>115000</v>
      </c>
      <c r="E7" s="7" t="s">
        <v>12</v>
      </c>
    </row>
    <row r="8" spans="1:5" x14ac:dyDescent="0.2">
      <c r="A8" s="7" t="s">
        <v>13</v>
      </c>
      <c r="B8" s="10">
        <f>B7/B5</f>
        <v>0.44130434782608696</v>
      </c>
      <c r="C8" s="10">
        <v>0.4</v>
      </c>
      <c r="D8" s="10">
        <f>B8-C8</f>
        <v>4.130434782608694E-2</v>
      </c>
      <c r="E8" s="7" t="s">
        <v>14</v>
      </c>
    </row>
    <row r="9" spans="1:5" x14ac:dyDescent="0.2">
      <c r="A9" s="7"/>
      <c r="B9" s="7"/>
      <c r="C9" s="7"/>
      <c r="D9" s="7"/>
      <c r="E9" s="7"/>
    </row>
    <row r="10" spans="1:5" x14ac:dyDescent="0.2">
      <c r="A10" s="7"/>
      <c r="B10" s="7"/>
      <c r="C10" s="7"/>
      <c r="D10" s="7"/>
      <c r="E10" s="7"/>
    </row>
    <row r="11" spans="1:5" x14ac:dyDescent="0.2">
      <c r="A11" s="6" t="s">
        <v>15</v>
      </c>
      <c r="B11" s="7"/>
      <c r="C11" s="7"/>
      <c r="D11" s="7"/>
      <c r="E11" s="7"/>
    </row>
    <row r="12" spans="1:5" x14ac:dyDescent="0.2">
      <c r="A12" s="6" t="s">
        <v>16</v>
      </c>
      <c r="B12" s="6" t="s">
        <v>3</v>
      </c>
      <c r="C12" s="6" t="s">
        <v>17</v>
      </c>
      <c r="D12" s="6" t="s">
        <v>18</v>
      </c>
      <c r="E12" s="7"/>
    </row>
    <row r="13" spans="1:5" x14ac:dyDescent="0.2">
      <c r="A13" t="s">
        <v>19</v>
      </c>
      <c r="B13" s="2">
        <f>Programs!C9/B5</f>
        <v>0.27782608695652172</v>
      </c>
      <c r="C13" s="2">
        <v>0.75</v>
      </c>
      <c r="D13" t="s">
        <v>20</v>
      </c>
    </row>
    <row r="14" spans="1:5" x14ac:dyDescent="0.2">
      <c r="A14" t="s">
        <v>21</v>
      </c>
      <c r="B14" s="2">
        <f>50000/B5</f>
        <v>2.1739130434782608E-2</v>
      </c>
      <c r="C14" s="2">
        <v>0.15</v>
      </c>
      <c r="D14" t="s">
        <v>12</v>
      </c>
    </row>
    <row r="15" spans="1:5" x14ac:dyDescent="0.2">
      <c r="A15" t="s">
        <v>22</v>
      </c>
      <c r="B15" s="5">
        <v>661754</v>
      </c>
      <c r="C15" s="5">
        <v>700000</v>
      </c>
      <c r="D15" t="s">
        <v>23</v>
      </c>
    </row>
    <row r="16" spans="1:5" x14ac:dyDescent="0.2">
      <c r="A16" t="s">
        <v>24</v>
      </c>
      <c r="B16" s="2">
        <f>(B5-661754)/B5</f>
        <v>0.71228086956521741</v>
      </c>
      <c r="C16" s="3">
        <v>0.5</v>
      </c>
      <c r="D16" t="s">
        <v>25</v>
      </c>
    </row>
    <row r="17" spans="1:4" x14ac:dyDescent="0.2">
      <c r="A17" t="s">
        <v>26</v>
      </c>
      <c r="B17" s="4">
        <f>Programs!C9/Programs!D9</f>
        <v>45.642857142857146</v>
      </c>
      <c r="C17" s="5">
        <v>50</v>
      </c>
      <c r="D17" t="s">
        <v>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B25" sqref="B25"/>
    </sheetView>
  </sheetViews>
  <sheetFormatPr baseColWidth="10" defaultColWidth="8.83203125" defaultRowHeight="15" x14ac:dyDescent="0.2"/>
  <cols>
    <col min="1" max="5" width="20" customWidth="1"/>
  </cols>
  <sheetData>
    <row r="1" spans="1:5" ht="16" x14ac:dyDescent="0.2">
      <c r="A1" s="16" t="s">
        <v>27</v>
      </c>
      <c r="B1" s="16"/>
      <c r="C1" s="16"/>
      <c r="D1" s="16"/>
      <c r="E1" s="16"/>
    </row>
    <row r="2" spans="1:5" x14ac:dyDescent="0.2">
      <c r="A2" s="7"/>
      <c r="B2" s="7"/>
      <c r="C2" s="7"/>
      <c r="D2" s="7"/>
      <c r="E2" s="7"/>
    </row>
    <row r="3" spans="1:5" x14ac:dyDescent="0.2">
      <c r="A3" s="6" t="s">
        <v>28</v>
      </c>
      <c r="B3" s="6" t="s">
        <v>29</v>
      </c>
      <c r="C3" s="6" t="s">
        <v>17</v>
      </c>
      <c r="D3" s="6" t="s">
        <v>30</v>
      </c>
      <c r="E3" s="6" t="s">
        <v>31</v>
      </c>
    </row>
    <row r="4" spans="1:5" x14ac:dyDescent="0.2">
      <c r="A4" s="7" t="s">
        <v>32</v>
      </c>
      <c r="B4" s="8">
        <v>1200000</v>
      </c>
      <c r="C4" s="8">
        <v>1150000</v>
      </c>
      <c r="D4" s="11">
        <f>B4/C4</f>
        <v>1.0434782608695652</v>
      </c>
      <c r="E4" s="7" t="s">
        <v>33</v>
      </c>
    </row>
    <row r="5" spans="1:5" x14ac:dyDescent="0.2">
      <c r="A5" s="7" t="s">
        <v>34</v>
      </c>
      <c r="B5" s="8">
        <v>600000</v>
      </c>
      <c r="C5" s="8">
        <v>550000</v>
      </c>
      <c r="D5" s="11">
        <f>B5/C5</f>
        <v>1.0909090909090908</v>
      </c>
      <c r="E5" s="7" t="s">
        <v>35</v>
      </c>
    </row>
    <row r="6" spans="1:5" x14ac:dyDescent="0.2">
      <c r="A6" s="7" t="s">
        <v>36</v>
      </c>
      <c r="B6" s="8">
        <v>400000</v>
      </c>
      <c r="C6" s="8">
        <v>400000</v>
      </c>
      <c r="D6" s="11">
        <f>B6/C6</f>
        <v>1</v>
      </c>
      <c r="E6" s="7" t="s">
        <v>37</v>
      </c>
    </row>
    <row r="7" spans="1:5" x14ac:dyDescent="0.2">
      <c r="A7" s="7" t="s">
        <v>38</v>
      </c>
      <c r="B7" s="8">
        <v>100000</v>
      </c>
      <c r="C7" s="8">
        <v>150000</v>
      </c>
      <c r="D7" s="11">
        <f>B7/C7</f>
        <v>0.66666666666666663</v>
      </c>
      <c r="E7" s="7" t="s">
        <v>39</v>
      </c>
    </row>
    <row r="8" spans="1:5" x14ac:dyDescent="0.2">
      <c r="A8" s="7"/>
      <c r="B8" s="7"/>
      <c r="C8" s="7"/>
      <c r="D8" s="7"/>
      <c r="E8" s="7"/>
    </row>
    <row r="9" spans="1:5" x14ac:dyDescent="0.2">
      <c r="A9" s="6" t="s">
        <v>40</v>
      </c>
      <c r="B9" s="9">
        <f>SUM(B4:B7)</f>
        <v>2300000</v>
      </c>
      <c r="C9" s="9">
        <f>SUM(C4:C7)</f>
        <v>2250000</v>
      </c>
      <c r="D9" s="12">
        <f>B9/C9</f>
        <v>1.0222222222222221</v>
      </c>
      <c r="E9" s="7"/>
    </row>
    <row r="10" spans="1:5" x14ac:dyDescent="0.2">
      <c r="A10" s="7"/>
      <c r="B10" s="7"/>
      <c r="C10" s="7"/>
      <c r="D10" s="7"/>
      <c r="E10" s="7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workbookViewId="0">
      <selection activeCell="A26" sqref="A26"/>
    </sheetView>
  </sheetViews>
  <sheetFormatPr baseColWidth="10" defaultColWidth="8.83203125" defaultRowHeight="15" x14ac:dyDescent="0.2"/>
  <cols>
    <col min="1" max="1" width="23.83203125" customWidth="1"/>
    <col min="2" max="6" width="18" customWidth="1"/>
  </cols>
  <sheetData>
    <row r="1" spans="1:6" ht="16" x14ac:dyDescent="0.2">
      <c r="A1" s="16" t="s">
        <v>41</v>
      </c>
      <c r="B1" s="16"/>
      <c r="C1" s="16"/>
      <c r="D1" s="16"/>
      <c r="E1" s="16"/>
      <c r="F1" s="16"/>
    </row>
    <row r="2" spans="1:6" x14ac:dyDescent="0.2">
      <c r="A2" s="7"/>
      <c r="B2" s="7"/>
      <c r="C2" s="7"/>
      <c r="D2" s="7"/>
      <c r="E2" s="7"/>
      <c r="F2" s="7"/>
    </row>
    <row r="3" spans="1:6" x14ac:dyDescent="0.2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6</v>
      </c>
    </row>
    <row r="4" spans="1:6" x14ac:dyDescent="0.2">
      <c r="A4" s="7" t="s">
        <v>47</v>
      </c>
      <c r="B4" s="8">
        <v>800000</v>
      </c>
      <c r="C4" s="8">
        <v>800000</v>
      </c>
      <c r="D4" s="8">
        <f t="shared" ref="D4:D11" si="0">B4-C4</f>
        <v>0</v>
      </c>
      <c r="E4" s="11">
        <f t="shared" ref="E4:E11" si="1">C4/B4</f>
        <v>1</v>
      </c>
      <c r="F4" s="7" t="str">
        <f>IF(E4&lt;0.9,"OK",IF(E4&lt;1,"Ok","At Limit"))</f>
        <v>At Limit</v>
      </c>
    </row>
    <row r="5" spans="1:6" x14ac:dyDescent="0.2">
      <c r="A5" s="7" t="s">
        <v>48</v>
      </c>
      <c r="B5" s="8">
        <v>150000</v>
      </c>
      <c r="C5" s="8">
        <v>150000</v>
      </c>
      <c r="D5" s="8">
        <f t="shared" si="0"/>
        <v>0</v>
      </c>
      <c r="E5" s="11">
        <f t="shared" si="1"/>
        <v>1</v>
      </c>
      <c r="F5" s="7" t="str">
        <f t="shared" ref="F5:F11" si="2">IF(E5&lt;0.9,"OK",IF(E5&lt;1,"Ok","At Limit"))</f>
        <v>At Limit</v>
      </c>
    </row>
    <row r="6" spans="1:6" x14ac:dyDescent="0.2">
      <c r="A6" s="7" t="s">
        <v>49</v>
      </c>
      <c r="B6" s="8">
        <v>80000</v>
      </c>
      <c r="C6" s="8">
        <v>80000</v>
      </c>
      <c r="D6" s="8">
        <f t="shared" si="0"/>
        <v>0</v>
      </c>
      <c r="E6" s="11">
        <f t="shared" si="1"/>
        <v>1</v>
      </c>
      <c r="F6" s="7" t="str">
        <f t="shared" si="2"/>
        <v>At Limit</v>
      </c>
    </row>
    <row r="7" spans="1:6" x14ac:dyDescent="0.2">
      <c r="A7" s="7" t="s">
        <v>50</v>
      </c>
      <c r="B7" s="8">
        <v>60000</v>
      </c>
      <c r="C7" s="8">
        <v>60000</v>
      </c>
      <c r="D7" s="8">
        <f t="shared" si="0"/>
        <v>0</v>
      </c>
      <c r="E7" s="11">
        <f t="shared" si="1"/>
        <v>1</v>
      </c>
      <c r="F7" s="7" t="str">
        <f t="shared" si="2"/>
        <v>At Limit</v>
      </c>
    </row>
    <row r="8" spans="1:6" x14ac:dyDescent="0.2">
      <c r="A8" s="7" t="s">
        <v>51</v>
      </c>
      <c r="B8" s="8">
        <v>40000</v>
      </c>
      <c r="C8" s="8">
        <v>40000</v>
      </c>
      <c r="D8" s="8">
        <f t="shared" si="0"/>
        <v>0</v>
      </c>
      <c r="E8" s="11">
        <f t="shared" si="1"/>
        <v>1</v>
      </c>
      <c r="F8" s="7" t="str">
        <f t="shared" si="2"/>
        <v>At Limit</v>
      </c>
    </row>
    <row r="9" spans="1:6" x14ac:dyDescent="0.2">
      <c r="A9" s="7" t="s">
        <v>52</v>
      </c>
      <c r="B9" s="8">
        <v>50000</v>
      </c>
      <c r="C9" s="8">
        <v>45000</v>
      </c>
      <c r="D9" s="8">
        <f t="shared" si="0"/>
        <v>5000</v>
      </c>
      <c r="E9" s="11">
        <f t="shared" si="1"/>
        <v>0.9</v>
      </c>
      <c r="F9" s="7" t="str">
        <f t="shared" si="2"/>
        <v>Ok</v>
      </c>
    </row>
    <row r="10" spans="1:6" x14ac:dyDescent="0.2">
      <c r="A10" s="7" t="s">
        <v>53</v>
      </c>
      <c r="B10" s="8">
        <v>30000</v>
      </c>
      <c r="C10" s="8">
        <v>25000</v>
      </c>
      <c r="D10" s="8">
        <f t="shared" si="0"/>
        <v>5000</v>
      </c>
      <c r="E10" s="11">
        <f t="shared" si="1"/>
        <v>0.83333333333333337</v>
      </c>
      <c r="F10" s="7" t="str">
        <f t="shared" si="2"/>
        <v>OK</v>
      </c>
    </row>
    <row r="11" spans="1:6" x14ac:dyDescent="0.2">
      <c r="A11" s="7" t="s">
        <v>54</v>
      </c>
      <c r="B11" s="8">
        <v>75000</v>
      </c>
      <c r="C11" s="8">
        <v>75000</v>
      </c>
      <c r="D11" s="8">
        <f t="shared" si="0"/>
        <v>0</v>
      </c>
      <c r="E11" s="11">
        <f t="shared" si="1"/>
        <v>1</v>
      </c>
      <c r="F11" s="7" t="str">
        <f t="shared" si="2"/>
        <v>At Limit</v>
      </c>
    </row>
    <row r="12" spans="1:6" x14ac:dyDescent="0.2">
      <c r="A12" s="7"/>
      <c r="B12" s="7"/>
      <c r="C12" s="7"/>
      <c r="D12" s="7"/>
      <c r="E12" s="7"/>
      <c r="F12" s="7"/>
    </row>
    <row r="13" spans="1:6" x14ac:dyDescent="0.2">
      <c r="A13" s="7"/>
      <c r="B13" s="7"/>
      <c r="C13" s="7"/>
      <c r="D13" s="7"/>
      <c r="E13" s="7"/>
      <c r="F13" s="7"/>
    </row>
    <row r="14" spans="1:6" x14ac:dyDescent="0.2">
      <c r="A14" s="6" t="s">
        <v>55</v>
      </c>
      <c r="B14" s="9">
        <f>SUM(B4:B11)</f>
        <v>1285000</v>
      </c>
      <c r="C14" s="9">
        <f>SUM(C4:C11)</f>
        <v>1275000</v>
      </c>
      <c r="D14" s="9">
        <f>B14-C14</f>
        <v>10000</v>
      </c>
      <c r="E14" s="12">
        <f>C14/B14</f>
        <v>0.99221789883268485</v>
      </c>
      <c r="F14" s="7" t="s">
        <v>8</v>
      </c>
    </row>
  </sheetData>
  <mergeCells count="1">
    <mergeCell ref="A1:F1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D24" sqref="D24"/>
    </sheetView>
  </sheetViews>
  <sheetFormatPr baseColWidth="10" defaultColWidth="8.83203125" defaultRowHeight="15" x14ac:dyDescent="0.2"/>
  <cols>
    <col min="1" max="1" width="30.83203125" customWidth="1"/>
    <col min="2" max="6" width="18" customWidth="1"/>
  </cols>
  <sheetData>
    <row r="1" spans="1:6" ht="16" x14ac:dyDescent="0.2">
      <c r="A1" s="16" t="s">
        <v>56</v>
      </c>
      <c r="B1" s="16"/>
      <c r="C1" s="16"/>
      <c r="D1" s="16"/>
      <c r="E1" s="16"/>
      <c r="F1" s="16"/>
    </row>
    <row r="2" spans="1:6" x14ac:dyDescent="0.2">
      <c r="A2" s="7"/>
      <c r="B2" s="7"/>
      <c r="C2" s="7"/>
      <c r="D2" s="7"/>
      <c r="E2" s="7"/>
      <c r="F2" s="7"/>
    </row>
    <row r="3" spans="1:6" x14ac:dyDescent="0.2">
      <c r="A3" s="6" t="s">
        <v>57</v>
      </c>
      <c r="B3" s="6" t="s">
        <v>4</v>
      </c>
      <c r="C3" s="6" t="s">
        <v>58</v>
      </c>
      <c r="D3" s="6" t="s">
        <v>59</v>
      </c>
      <c r="E3" s="6" t="s">
        <v>60</v>
      </c>
      <c r="F3" s="6" t="s">
        <v>61</v>
      </c>
    </row>
    <row r="4" spans="1:6" x14ac:dyDescent="0.2">
      <c r="A4" s="7" t="s">
        <v>62</v>
      </c>
      <c r="B4" s="8">
        <v>350000</v>
      </c>
      <c r="C4" s="8">
        <v>345000</v>
      </c>
      <c r="D4" s="13">
        <v>8500</v>
      </c>
      <c r="E4" s="8">
        <f>C4/D4</f>
        <v>40.588235294117645</v>
      </c>
      <c r="F4" s="11">
        <f>C4/B4</f>
        <v>0.98571428571428577</v>
      </c>
    </row>
    <row r="5" spans="1:6" x14ac:dyDescent="0.2">
      <c r="A5" s="7" t="s">
        <v>63</v>
      </c>
      <c r="B5" s="8">
        <v>120000</v>
      </c>
      <c r="C5" s="8">
        <v>118000</v>
      </c>
      <c r="D5" s="13">
        <v>2200</v>
      </c>
      <c r="E5" s="8">
        <f>C5/D5</f>
        <v>53.636363636363633</v>
      </c>
      <c r="F5" s="11">
        <f>C5/B5</f>
        <v>0.98333333333333328</v>
      </c>
    </row>
    <row r="6" spans="1:6" x14ac:dyDescent="0.2">
      <c r="A6" s="7" t="s">
        <v>64</v>
      </c>
      <c r="B6" s="8">
        <v>85000</v>
      </c>
      <c r="C6" s="8">
        <v>82000</v>
      </c>
      <c r="D6" s="13">
        <v>1500</v>
      </c>
      <c r="E6" s="8">
        <f>C6/D6</f>
        <v>54.666666666666664</v>
      </c>
      <c r="F6" s="11">
        <f>C6/B6</f>
        <v>0.96470588235294119</v>
      </c>
    </row>
    <row r="7" spans="1:6" x14ac:dyDescent="0.2">
      <c r="A7" s="7" t="s">
        <v>65</v>
      </c>
      <c r="B7" s="8">
        <v>95000</v>
      </c>
      <c r="C7" s="8">
        <v>94000</v>
      </c>
      <c r="D7" s="13">
        <v>1800</v>
      </c>
      <c r="E7" s="8">
        <f>C7/D7</f>
        <v>52.222222222222221</v>
      </c>
      <c r="F7" s="11">
        <f>C7/B7</f>
        <v>0.98947368421052628</v>
      </c>
    </row>
    <row r="8" spans="1:6" x14ac:dyDescent="0.2">
      <c r="A8" s="7"/>
      <c r="B8" s="7"/>
      <c r="C8" s="7"/>
      <c r="D8" s="7"/>
      <c r="E8" s="7"/>
      <c r="F8" s="7"/>
    </row>
    <row r="9" spans="1:6" x14ac:dyDescent="0.2">
      <c r="A9" s="6" t="s">
        <v>66</v>
      </c>
      <c r="B9" s="9">
        <f>SUM(B4:B7)</f>
        <v>650000</v>
      </c>
      <c r="C9" s="9">
        <f>SUM(C4:C7)</f>
        <v>639000</v>
      </c>
      <c r="D9" s="14">
        <f>SUM(D4:D7)</f>
        <v>14000</v>
      </c>
      <c r="E9" s="9">
        <f>C9/D9</f>
        <v>45.642857142857146</v>
      </c>
      <c r="F9" s="7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C28" sqref="C28"/>
    </sheetView>
  </sheetViews>
  <sheetFormatPr baseColWidth="10" defaultColWidth="8.83203125" defaultRowHeight="15" x14ac:dyDescent="0.2"/>
  <cols>
    <col min="1" max="1" width="28.6640625" customWidth="1"/>
    <col min="2" max="5" width="15" customWidth="1"/>
  </cols>
  <sheetData>
    <row r="1" spans="1:5" ht="16" customHeight="1" x14ac:dyDescent="0.2">
      <c r="A1" s="18" t="s">
        <v>67</v>
      </c>
      <c r="B1" s="18"/>
      <c r="C1" s="18"/>
      <c r="D1" s="18"/>
      <c r="E1" s="18"/>
    </row>
    <row r="3" spans="1:5" ht="15" customHeight="1" x14ac:dyDescent="0.2">
      <c r="A3" s="15" t="s">
        <v>68</v>
      </c>
      <c r="B3" s="15" t="s">
        <v>69</v>
      </c>
      <c r="C3" s="15" t="s">
        <v>70</v>
      </c>
      <c r="D3" s="15" t="s">
        <v>71</v>
      </c>
      <c r="E3" s="15" t="s">
        <v>72</v>
      </c>
    </row>
    <row r="4" spans="1:5" x14ac:dyDescent="0.2">
      <c r="A4" t="s">
        <v>73</v>
      </c>
      <c r="B4" s="1">
        <f>Dashboard!$B$5/12</f>
        <v>191666.66666666666</v>
      </c>
      <c r="C4" s="1">
        <f>Dashboard!$B$6/12</f>
        <v>107083.33333333333</v>
      </c>
      <c r="D4" s="1">
        <f t="shared" ref="D4:D15" si="0">B4-C4</f>
        <v>84583.333333333328</v>
      </c>
      <c r="E4" s="1">
        <f>D4</f>
        <v>84583.333333333328</v>
      </c>
    </row>
    <row r="5" spans="1:5" x14ac:dyDescent="0.2">
      <c r="A5" t="s">
        <v>74</v>
      </c>
      <c r="B5" s="1">
        <f>Dashboard!$B$5/12</f>
        <v>191666.66666666666</v>
      </c>
      <c r="C5" s="1">
        <f>Dashboard!$B$6/12</f>
        <v>107083.33333333333</v>
      </c>
      <c r="D5" s="1">
        <f t="shared" si="0"/>
        <v>84583.333333333328</v>
      </c>
      <c r="E5" s="1">
        <f t="shared" ref="E5:E15" si="1">D5+E4</f>
        <v>169166.66666666666</v>
      </c>
    </row>
    <row r="6" spans="1:5" x14ac:dyDescent="0.2">
      <c r="A6" t="s">
        <v>75</v>
      </c>
      <c r="B6" s="1">
        <f>Dashboard!$B$5/12</f>
        <v>191666.66666666666</v>
      </c>
      <c r="C6" s="1">
        <f>Dashboard!$B$6/12</f>
        <v>107083.33333333333</v>
      </c>
      <c r="D6" s="1">
        <f t="shared" si="0"/>
        <v>84583.333333333328</v>
      </c>
      <c r="E6" s="1">
        <f t="shared" si="1"/>
        <v>253750</v>
      </c>
    </row>
    <row r="7" spans="1:5" x14ac:dyDescent="0.2">
      <c r="A7" t="s">
        <v>76</v>
      </c>
      <c r="B7" s="1">
        <f>Dashboard!$B$5/12</f>
        <v>191666.66666666666</v>
      </c>
      <c r="C7" s="1">
        <f>Dashboard!$B$6/12</f>
        <v>107083.33333333333</v>
      </c>
      <c r="D7" s="1">
        <f t="shared" si="0"/>
        <v>84583.333333333328</v>
      </c>
      <c r="E7" s="1">
        <f t="shared" si="1"/>
        <v>338333.33333333331</v>
      </c>
    </row>
    <row r="8" spans="1:5" x14ac:dyDescent="0.2">
      <c r="A8" t="s">
        <v>77</v>
      </c>
      <c r="B8" s="1">
        <f>Dashboard!$B$5/12</f>
        <v>191666.66666666666</v>
      </c>
      <c r="C8" s="1">
        <f>Dashboard!$B$6/12</f>
        <v>107083.33333333333</v>
      </c>
      <c r="D8" s="1">
        <f t="shared" si="0"/>
        <v>84583.333333333328</v>
      </c>
      <c r="E8" s="1">
        <f t="shared" si="1"/>
        <v>422916.66666666663</v>
      </c>
    </row>
    <row r="9" spans="1:5" x14ac:dyDescent="0.2">
      <c r="A9" t="s">
        <v>78</v>
      </c>
      <c r="B9" s="1">
        <f>Dashboard!$B$5/12</f>
        <v>191666.66666666666</v>
      </c>
      <c r="C9" s="1">
        <f>Dashboard!$B$6/12</f>
        <v>107083.33333333333</v>
      </c>
      <c r="D9" s="1">
        <f t="shared" si="0"/>
        <v>84583.333333333328</v>
      </c>
      <c r="E9" s="1">
        <f t="shared" si="1"/>
        <v>507499.99999999994</v>
      </c>
    </row>
    <row r="10" spans="1:5" x14ac:dyDescent="0.2">
      <c r="A10" t="s">
        <v>79</v>
      </c>
      <c r="B10" s="1">
        <f>Dashboard!$B$5/12</f>
        <v>191666.66666666666</v>
      </c>
      <c r="C10" s="1">
        <f>Dashboard!$B$6/12</f>
        <v>107083.33333333333</v>
      </c>
      <c r="D10" s="1">
        <f t="shared" si="0"/>
        <v>84583.333333333328</v>
      </c>
      <c r="E10" s="1">
        <f>D10+E9</f>
        <v>592083.33333333326</v>
      </c>
    </row>
    <row r="11" spans="1:5" x14ac:dyDescent="0.2">
      <c r="A11" t="s">
        <v>80</v>
      </c>
      <c r="B11" s="1">
        <f>Dashboard!$B$5/12</f>
        <v>191666.66666666666</v>
      </c>
      <c r="C11" s="1">
        <f>Dashboard!$B$6/12</f>
        <v>107083.33333333333</v>
      </c>
      <c r="D11" s="1">
        <f t="shared" si="0"/>
        <v>84583.333333333328</v>
      </c>
      <c r="E11" s="1">
        <f t="shared" si="1"/>
        <v>676666.66666666663</v>
      </c>
    </row>
    <row r="12" spans="1:5" x14ac:dyDescent="0.2">
      <c r="A12" t="s">
        <v>81</v>
      </c>
      <c r="B12" s="1">
        <f>Dashboard!$B$5/12</f>
        <v>191666.66666666666</v>
      </c>
      <c r="C12" s="1">
        <f>Dashboard!$B$6/12</f>
        <v>107083.33333333333</v>
      </c>
      <c r="D12" s="1">
        <f t="shared" si="0"/>
        <v>84583.333333333328</v>
      </c>
      <c r="E12" s="1">
        <f t="shared" si="1"/>
        <v>761250</v>
      </c>
    </row>
    <row r="13" spans="1:5" x14ac:dyDescent="0.2">
      <c r="A13" t="s">
        <v>82</v>
      </c>
      <c r="B13" s="1">
        <f>Dashboard!$B$5/12</f>
        <v>191666.66666666666</v>
      </c>
      <c r="C13" s="1">
        <f>Dashboard!$B$6/12</f>
        <v>107083.33333333333</v>
      </c>
      <c r="D13" s="1">
        <f t="shared" si="0"/>
        <v>84583.333333333328</v>
      </c>
      <c r="E13" s="1">
        <f t="shared" si="1"/>
        <v>845833.33333333337</v>
      </c>
    </row>
    <row r="14" spans="1:5" x14ac:dyDescent="0.2">
      <c r="A14" t="s">
        <v>83</v>
      </c>
      <c r="B14" s="1">
        <f>Dashboard!$B$5/12</f>
        <v>191666.66666666666</v>
      </c>
      <c r="C14" s="1">
        <f>Dashboard!$B$6/12</f>
        <v>107083.33333333333</v>
      </c>
      <c r="D14" s="1">
        <f t="shared" si="0"/>
        <v>84583.333333333328</v>
      </c>
      <c r="E14" s="1">
        <f t="shared" si="1"/>
        <v>930416.66666666674</v>
      </c>
    </row>
    <row r="15" spans="1:5" x14ac:dyDescent="0.2">
      <c r="A15" t="s">
        <v>84</v>
      </c>
      <c r="B15" s="1">
        <f>Dashboard!$B$5/12</f>
        <v>191666.66666666666</v>
      </c>
      <c r="C15" s="1">
        <f>Dashboard!$B$6/12</f>
        <v>107083.33333333333</v>
      </c>
      <c r="D15" s="1">
        <f t="shared" si="0"/>
        <v>84583.333333333328</v>
      </c>
      <c r="E15" s="1">
        <f t="shared" si="1"/>
        <v>1015000.0000000001</v>
      </c>
    </row>
    <row r="16" spans="1:5" x14ac:dyDescent="0.2">
      <c r="A16" t="s">
        <v>85</v>
      </c>
      <c r="B16" s="1">
        <f>SUM(B4:B15)</f>
        <v>2300000</v>
      </c>
      <c r="C16" s="1">
        <f>SUM(C4:C15)</f>
        <v>1285000</v>
      </c>
      <c r="D16" s="1">
        <f t="shared" ref="D16" si="2">SUM(D4:D15)</f>
        <v>1015000.0000000001</v>
      </c>
      <c r="E16" s="1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Revenue</vt:lpstr>
      <vt:lpstr>Expenses</vt:lpstr>
      <vt:lpstr>Programs</vt:lpstr>
      <vt:lpstr>Monthly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Seth</cp:lastModifiedBy>
  <dcterms:created xsi:type="dcterms:W3CDTF">2026-06-30T20:49:06Z</dcterms:created>
  <dcterms:modified xsi:type="dcterms:W3CDTF">2026-07-12T01:47:51Z</dcterms:modified>
</cp:coreProperties>
</file>